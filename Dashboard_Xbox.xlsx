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álculos" sheetId="2" state="visible" r:id="rId4"/>
    <sheet name="Bas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1" authorId="0">
      <text>
        <r>
          <rPr>
            <sz val="10"/>
            <rFont val="Arial"/>
            <family val="2"/>
          </rPr>
          <t xml:space="preserve">Colunas N a Q são fórmulas auxiliares. As colunas A a M são a base original, sem alteração.</t>
        </r>
      </text>
    </comment>
  </commentList>
</comments>
</file>

<file path=xl/sharedStrings.xml><?xml version="1.0" encoding="utf-8"?>
<sst xmlns="http://schemas.openxmlformats.org/spreadsheetml/2006/main" count="2077" uniqueCount="371">
  <si>
    <t xml:space="preserve">XBOX GAME PASS · VENDAS DE ASSINATURAS</t>
  </si>
  <si>
    <t xml:space="preserve">295 assinaturas de 2024. Escolha os filtros nas células amarelas; indicadores e gráficos se atualizam.</t>
  </si>
  <si>
    <t xml:space="preserve">Plano</t>
  </si>
  <si>
    <t xml:space="preserve">Tipo de assinatura</t>
  </si>
  <si>
    <t xml:space="preserve">Renovação automática</t>
  </si>
  <si>
    <t xml:space="preserve">Todos</t>
  </si>
  <si>
    <t xml:space="preserve">Para limpar, volte os três filtros para Todos.</t>
  </si>
  <si>
    <t xml:space="preserve">Faturamento</t>
  </si>
  <si>
    <t xml:space="preserve">Assinaturas</t>
  </si>
  <si>
    <t xml:space="preserve">Ticket médio</t>
  </si>
  <si>
    <t xml:space="preserve">Complementos</t>
  </si>
  <si>
    <t xml:space="preserve">Cupons concedidos</t>
  </si>
  <si>
    <t xml:space="preserve">soma de Total Value</t>
  </si>
  <si>
    <t xml:space="preserve">vendas no recorte</t>
  </si>
  <si>
    <t xml:space="preserve">faturamento ÷ assinaturas</t>
  </si>
  <si>
    <t xml:space="preserve">das assinaturas</t>
  </si>
  <si>
    <t xml:space="preserve">Qual tipo de assinatura gera mais faturamento?</t>
  </si>
  <si>
    <t xml:space="preserve">A renovação automática vale mais por assinatura?</t>
  </si>
  <si>
    <t xml:space="preserve">Quanto os complementos somam em cada plano?</t>
  </si>
  <si>
    <t xml:space="preserve">Como o faturamento evolui mês a mês?</t>
  </si>
  <si>
    <t xml:space="preserve">Como ler: cada gráfico respeita os filtros acima, exceto a própria dimensão que ele detalha (o gráfico por tipo mostra todos os tipos, e assim por diante).</t>
  </si>
  <si>
    <t xml:space="preserve">Base: base.xlsx do desafio (295 assinaturas, 2024). A base não informa a moeda, por isso os valores aparecem sem símbolo. Total Value é o valor registrado em cada venda.</t>
  </si>
  <si>
    <t xml:space="preserve">Conferência: em todas as linhas, Total Value = preço da assinatura + EA Play + Minecraft − cupom (ver aba Cálculos).</t>
  </si>
  <si>
    <t xml:space="preserve">Cálculos do dashboard</t>
  </si>
  <si>
    <t xml:space="preserve">Tudo aqui é fórmula sobre a aba Bases. Os filtros vêm do Dashboard (células amarelas).</t>
  </si>
  <si>
    <t xml:space="preserve">Critério do plano</t>
  </si>
  <si>
    <t xml:space="preserve">Critério do tipo</t>
  </si>
  <si>
    <t xml:space="preserve">Critério da renovação</t>
  </si>
  <si>
    <t xml:space="preserve">Indicadores gerais (respeitam os três filtros)</t>
  </si>
  <si>
    <t xml:space="preserve">Faturamento (Total Value)</t>
  </si>
  <si>
    <t xml:space="preserve">Valor bruto (preço + complementos)</t>
  </si>
  <si>
    <t xml:space="preserve">Receita de complementos (EA Play + Minecraft)</t>
  </si>
  <si>
    <t xml:space="preserve">Cupons como % do valor bruto</t>
  </si>
  <si>
    <t xml:space="preserve">Complementos como % do valor bruto</t>
  </si>
  <si>
    <t xml:space="preserve">Assinaturas com renovação automática</t>
  </si>
  <si>
    <t xml:space="preserve">% com renovação automática</t>
  </si>
  <si>
    <t xml:space="preserve">Linhas na base</t>
  </si>
  <si>
    <t xml:space="preserve">Linhas com Total Value divergente</t>
  </si>
  <si>
    <t xml:space="preserve">Conferência da base</t>
  </si>
  <si>
    <t xml:space="preserve">Pergunta 1: faturamento por tipo de assinatura (respeita plano e renovação; mostra todos os tipos)</t>
  </si>
  <si>
    <t xml:space="preserve">Tipo</t>
  </si>
  <si>
    <t xml:space="preserve">% do faturamento</t>
  </si>
  <si>
    <t xml:space="preserve">Monthly</t>
  </si>
  <si>
    <t xml:space="preserve">Quarterly</t>
  </si>
  <si>
    <t xml:space="preserve">Annual</t>
  </si>
  <si>
    <t xml:space="preserve">Total</t>
  </si>
  <si>
    <t xml:space="preserve">Pergunta 2: renovação automática (respeita plano e tipo; mostra Yes e No)</t>
  </si>
  <si>
    <t xml:space="preserve">Cupom médio</t>
  </si>
  <si>
    <t xml:space="preserve">Yes</t>
  </si>
  <si>
    <t xml:space="preserve">No</t>
  </si>
  <si>
    <t xml:space="preserve">Pergunta 3: composição do valor por plano (respeita tipo e renovação; mostra todos os planos)</t>
  </si>
  <si>
    <t xml:space="preserve">Assinatura base</t>
  </si>
  <si>
    <t xml:space="preserve">EA Play</t>
  </si>
  <si>
    <t xml:space="preserve">Minecraft</t>
  </si>
  <si>
    <t xml:space="preserve">Cupons</t>
  </si>
  <si>
    <t xml:space="preserve">Core</t>
  </si>
  <si>
    <t xml:space="preserve">Standard</t>
  </si>
  <si>
    <t xml:space="preserve">Ultimate</t>
  </si>
  <si>
    <t xml:space="preserve">Pergunta 4: evolução mensal (respeita os três filtros)</t>
  </si>
  <si>
    <t xml:space="preserve">Mês</t>
  </si>
  <si>
    <t xml:space="preserve">Início do mês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</si>
  <si>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</si>
  <si>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</si>
  <si>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</si>
  <si>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</si>
  <si>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</si>
  <si>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</si>
  <si>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</si>
  <si>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</si>
  <si>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</si>
  <si>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</si>
  <si>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</si>
  <si>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</si>
  <si>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Subscriber ID</t>
  </si>
  <si>
    <t xml:space="preserve">Name</t>
  </si>
  <si>
    <t xml:space="preserve">Plan</t>
  </si>
  <si>
    <t xml:space="preserve">Start Date</t>
  </si>
  <si>
    <t xml:space="preserve">Auto Renewal</t>
  </si>
  <si>
    <t xml:space="preserve">Subscription Price</t>
  </si>
  <si>
    <t xml:space="preserve">Subscription Type</t>
  </si>
  <si>
    <t xml:space="preserve">EA Play Season Pass</t>
  </si>
  <si>
    <t xml:space="preserve">EA Play Season Pass
Price</t>
  </si>
  <si>
    <t xml:space="preserve">Minecraft Season Pass</t>
  </si>
  <si>
    <t xml:space="preserve">Minecraft Season Pass Price</t>
  </si>
  <si>
    <t xml:space="preserve">Coupon Value</t>
  </si>
  <si>
    <t xml:space="preserve">Total Value</t>
  </si>
  <si>
    <t xml:space="preserve">Mês (auxiliar)</t>
  </si>
  <si>
    <t xml:space="preserve">EA Play valor (auxiliar)</t>
  </si>
  <si>
    <t xml:space="preserve">Valor bruto (auxiliar)</t>
  </si>
  <si>
    <t xml:space="preserve">Conferência (auxiliar)</t>
  </si>
  <si>
    <t xml:space="preserve">João Silva</t>
  </si>
  <si>
    <t xml:space="preserve">Maria Oliveira</t>
  </si>
  <si>
    <t xml:space="preserve">-</t>
  </si>
  <si>
    <t xml:space="preserve">Lucas Fernandes</t>
  </si>
  <si>
    <t xml:space="preserve">Ana Souza</t>
  </si>
  <si>
    <t xml:space="preserve">Pedro Gonçalves</t>
  </si>
  <si>
    <t xml:space="preserve">Felipe Costa</t>
  </si>
  <si>
    <t xml:space="preserve">Camila Ribeiro</t>
  </si>
  <si>
    <t xml:space="preserve">André Mendes</t>
  </si>
  <si>
    <t xml:space="preserve">Sofia Almeida</t>
  </si>
  <si>
    <t xml:space="preserve">Bruno Martins</t>
  </si>
  <si>
    <t xml:space="preserve">Rita Castro</t>
  </si>
  <si>
    <t xml:space="preserve">Marco Túlio</t>
  </si>
  <si>
    <t xml:space="preserve">Lívia Silveira</t>
  </si>
  <si>
    <t xml:space="preserve">Diogo Sousa</t>
  </si>
  <si>
    <t xml:space="preserve">Fernanda Lima</t>
  </si>
  <si>
    <t xml:space="preserve">Caio Pereira</t>
  </si>
  <si>
    <t xml:space="preserve">Beatriz Gomes</t>
  </si>
  <si>
    <t xml:space="preserve">Cesar Oliveira</t>
  </si>
  <si>
    <t xml:space="preserve">Débora Machado</t>
  </si>
  <si>
    <t xml:space="preserve">Eduardo Vargas</t>
  </si>
  <si>
    <t xml:space="preserve">Gabriela Santos</t>
  </si>
  <si>
    <t xml:space="preserve">Henrique Dias</t>
  </si>
  <si>
    <t xml:space="preserve">Isabela Moreira</t>
  </si>
  <si>
    <t xml:space="preserve">Joaquim Barbosa</t>
  </si>
  <si>
    <t xml:space="preserve">Lara Rocha</t>
  </si>
  <si>
    <t xml:space="preserve">Matheus Silva</t>
  </si>
  <si>
    <t xml:space="preserve">Nicole Costa</t>
  </si>
  <si>
    <t xml:space="preserve">Otávio Mendonça</t>
  </si>
  <si>
    <t xml:space="preserve">Paula Ferreira</t>
  </si>
  <si>
    <t xml:space="preserve">Raquel Alves</t>
  </si>
  <si>
    <t xml:space="preserve">Samuel Pires</t>
  </si>
  <si>
    <t xml:space="preserve">Tânia Barros</t>
  </si>
  <si>
    <t xml:space="preserve">Vinicius Lima</t>
  </si>
  <si>
    <t xml:space="preserve">Yasmin Teixeira</t>
  </si>
  <si>
    <t xml:space="preserve">Zé Carlos</t>
  </si>
  <si>
    <t xml:space="preserve">Amanda Nogueira</t>
  </si>
  <si>
    <t xml:space="preserve">Bruno Cavalheiro</t>
  </si>
  <si>
    <t xml:space="preserve">Carla Dias</t>
  </si>
  <si>
    <t xml:space="preserve">Diego Fontes</t>
  </si>
  <si>
    <t xml:space="preserve">Eunice Lima</t>
  </si>
  <si>
    <t xml:space="preserve">Fábio Martins</t>
  </si>
  <si>
    <t xml:space="preserve">Gisele Araújo</t>
  </si>
  <si>
    <t xml:space="preserve">Hélio Castro</t>
  </si>
  <si>
    <t xml:space="preserve">Ingrid Menezes</t>
  </si>
  <si>
    <t xml:space="preserve">Jorge Baptista</t>
  </si>
  <si>
    <t xml:space="preserve">Kléber Oliveira</t>
  </si>
  <si>
    <t xml:space="preserve">Luciana Freitas</t>
  </si>
  <si>
    <t xml:space="preserve">Márcia Eller</t>
  </si>
  <si>
    <t xml:space="preserve">Nilo Peçanha</t>
  </si>
  <si>
    <t xml:space="preserve">Oscar Neves</t>
  </si>
  <si>
    <t xml:space="preserve">Patrícia Soares</t>
  </si>
  <si>
    <t xml:space="preserve">Quirino Gonçalves</t>
  </si>
  <si>
    <t xml:space="preserve">Raul Machado</t>
  </si>
  <si>
    <t xml:space="preserve">Sônia Lobo</t>
  </si>
  <si>
    <t xml:space="preserve">Tiago Ramos</t>
  </si>
  <si>
    <t xml:space="preserve">Ugo Pires</t>
  </si>
  <si>
    <t xml:space="preserve">Valéria Nobre</t>
  </si>
  <si>
    <t xml:space="preserve">William Siqueira</t>
  </si>
  <si>
    <t xml:space="preserve">Xuxa Meneghel</t>
  </si>
  <si>
    <t xml:space="preserve">Yara Figueiredo</t>
  </si>
  <si>
    <t xml:space="preserve">Zacarias Alves</t>
  </si>
  <si>
    <t xml:space="preserve">Amanda Bynes</t>
  </si>
  <si>
    <t xml:space="preserve">Bruno Mars</t>
  </si>
  <si>
    <t xml:space="preserve">Carla Bruni</t>
  </si>
  <si>
    <t xml:space="preserve">Diego Maradona</t>
  </si>
  <si>
    <t xml:space="preserve">Estela Marques</t>
  </si>
  <si>
    <t xml:space="preserve">Fábio Nobre</t>
  </si>
  <si>
    <t xml:space="preserve">Gabriel Oliveira</t>
  </si>
  <si>
    <t xml:space="preserve">Helena Santos</t>
  </si>
  <si>
    <t xml:space="preserve">Ivan Carvalho</t>
  </si>
  <si>
    <t xml:space="preserve">Júlia Ferreira</t>
  </si>
  <si>
    <t xml:space="preserve">Karla Alves</t>
  </si>
  <si>
    <t xml:space="preserve">Lucas Mendes</t>
  </si>
  <si>
    <t xml:space="preserve">Mônica Gomes</t>
  </si>
  <si>
    <t xml:space="preserve">Norberto Queiroz</t>
  </si>
  <si>
    <t xml:space="preserve">Otávio Barros</t>
  </si>
  <si>
    <t xml:space="preserve">Paula Vieira</t>
  </si>
  <si>
    <t xml:space="preserve">Quentin Ramos</t>
  </si>
  <si>
    <t xml:space="preserve">Raquel Novaes</t>
  </si>
  <si>
    <t xml:space="preserve">Samantha Lopes</t>
  </si>
  <si>
    <t xml:space="preserve">Tiago Martins</t>
  </si>
  <si>
    <t xml:space="preserve">Ulysses Guimarães</t>
  </si>
  <si>
    <t xml:space="preserve">Vanessa Silva</t>
  </si>
  <si>
    <t xml:space="preserve">William Carneiro</t>
  </si>
  <si>
    <t xml:space="preserve">Ximena Rocha</t>
  </si>
  <si>
    <t xml:space="preserve">Yasmin Figueiredo</t>
  </si>
  <si>
    <t xml:space="preserve">Zara Cunha</t>
  </si>
  <si>
    <t xml:space="preserve">Alan Teixeira</t>
  </si>
  <si>
    <t xml:space="preserve">Bárbara Oliveira</t>
  </si>
  <si>
    <t xml:space="preserve">Carlos Junqueira</t>
  </si>
  <si>
    <t xml:space="preserve">Daniela Moura</t>
  </si>
  <si>
    <t xml:space="preserve">Eduardo Lima</t>
  </si>
  <si>
    <t xml:space="preserve">Fabiana Araújo</t>
  </si>
  <si>
    <t xml:space="preserve">Geraldo Ribeiro</t>
  </si>
  <si>
    <t xml:space="preserve">Héctor Vargas</t>
  </si>
  <si>
    <t xml:space="preserve">Isabela Fonseca</t>
  </si>
  <si>
    <t xml:space="preserve">João Pedro Almeida</t>
  </si>
  <si>
    <t xml:space="preserve">Klara Costa</t>
  </si>
  <si>
    <t xml:space="preserve">Luciana Mendes</t>
  </si>
  <si>
    <t xml:space="preserve">Marcelo Gouveia</t>
  </si>
  <si>
    <t xml:space="preserve">Nívea Borges</t>
  </si>
  <si>
    <t xml:space="preserve">Oscar Nogueira</t>
  </si>
  <si>
    <t xml:space="preserve">Patrícia Alves</t>
  </si>
  <si>
    <t xml:space="preserve">Rafaela Silva</t>
  </si>
  <si>
    <t xml:space="preserve">Samantha Moraes</t>
  </si>
  <si>
    <t xml:space="preserve">Tatiana Rocha</t>
  </si>
  <si>
    <t xml:space="preserve">Ulisses Tavares</t>
  </si>
  <si>
    <t xml:space="preserve">Víctor Lemos</t>
  </si>
  <si>
    <t xml:space="preserve">Wilma Barros</t>
  </si>
  <si>
    <t xml:space="preserve">Xavier Nascimento</t>
  </si>
  <si>
    <t xml:space="preserve">Yago Pereira</t>
  </si>
  <si>
    <t xml:space="preserve">Zilda Ferreira</t>
  </si>
  <si>
    <t xml:space="preserve">Amanda Lopes</t>
  </si>
  <si>
    <t xml:space="preserve">Bruno Miranda</t>
  </si>
  <si>
    <t xml:space="preserve">Célia Torres</t>
  </si>
  <si>
    <t xml:space="preserve">Diogo Souza</t>
  </si>
  <si>
    <t xml:space="preserve">Elisa Castro</t>
  </si>
  <si>
    <t xml:space="preserve">Fátima Lima</t>
  </si>
  <si>
    <t xml:space="preserve">Hélio Martins</t>
  </si>
  <si>
    <t xml:space="preserve">Íris Santos</t>
  </si>
  <si>
    <t xml:space="preserve">João Marcelo</t>
  </si>
  <si>
    <t xml:space="preserve">Larissa Gomes</t>
  </si>
  <si>
    <t xml:space="preserve">Márcio Silva</t>
  </si>
  <si>
    <t xml:space="preserve">Nadia Costa</t>
  </si>
  <si>
    <t xml:space="preserve">Oscar Almeida</t>
  </si>
  <si>
    <t xml:space="preserve">Patricia Soares</t>
  </si>
  <si>
    <t xml:space="preserve">Quênia Barros</t>
  </si>
  <si>
    <t xml:space="preserve">Rafael Torres</t>
  </si>
  <si>
    <t xml:space="preserve">Silvia Nascimento</t>
  </si>
  <si>
    <t xml:space="preserve">Tiago Mendes</t>
  </si>
  <si>
    <t xml:space="preserve">Ursula Silva</t>
  </si>
  <si>
    <t xml:space="preserve">Vanessa Moraes</t>
  </si>
  <si>
    <t xml:space="preserve">Waldir Junior</t>
  </si>
  <si>
    <t xml:space="preserve">Xavier Lopes</t>
  </si>
  <si>
    <t xml:space="preserve">Yolanda Freitas</t>
  </si>
  <si>
    <t xml:space="preserve">Zacarias Nunes</t>
  </si>
  <si>
    <t xml:space="preserve">Ana Clara Barreto</t>
  </si>
  <si>
    <t xml:space="preserve">Bruno Henrique</t>
  </si>
  <si>
    <t xml:space="preserve">Carlos Eduardo</t>
  </si>
  <si>
    <t xml:space="preserve">Débora Lima</t>
  </si>
  <si>
    <t xml:space="preserve">Elisa Neves</t>
  </si>
  <si>
    <t xml:space="preserve">Fabiano Gomes</t>
  </si>
  <si>
    <t xml:space="preserve">Gisele Oliveira</t>
  </si>
  <si>
    <t xml:space="preserve">Héctor Silva</t>
  </si>
  <si>
    <t xml:space="preserve">Igor Martins</t>
  </si>
  <si>
    <t xml:space="preserve">Joana Figueiredo</t>
  </si>
  <si>
    <t xml:space="preserve">Kleber Machado</t>
  </si>
  <si>
    <t xml:space="preserve">Luciana Santos</t>
  </si>
  <si>
    <t xml:space="preserve">Marcos Teixeira</t>
  </si>
  <si>
    <t xml:space="preserve">Natalia Costa</t>
  </si>
  <si>
    <t xml:space="preserve">Oscar Ribeiro</t>
  </si>
  <si>
    <t xml:space="preserve">Patricia Almeida</t>
  </si>
  <si>
    <t xml:space="preserve">Quirino Junior</t>
  </si>
  <si>
    <t xml:space="preserve">Renata Machado</t>
  </si>
  <si>
    <t xml:space="preserve">Sônia Alves</t>
  </si>
  <si>
    <t xml:space="preserve">Tiago Nunes</t>
  </si>
  <si>
    <t xml:space="preserve">Ulysses Pereira</t>
  </si>
  <si>
    <t xml:space="preserve">Vanessa Lima</t>
  </si>
  <si>
    <t xml:space="preserve">Wagner Santos</t>
  </si>
  <si>
    <t xml:space="preserve">Yasmin Silva</t>
  </si>
  <si>
    <t xml:space="preserve">Zacarias de Souza</t>
  </si>
  <si>
    <t xml:space="preserve">André Lima</t>
  </si>
  <si>
    <t xml:space="preserve">Bianca Freitas</t>
  </si>
  <si>
    <t xml:space="preserve">Caio Mendes</t>
  </si>
  <si>
    <t xml:space="preserve">Eduardo Costa</t>
  </si>
  <si>
    <t xml:space="preserve">Fernanda Gomes</t>
  </si>
  <si>
    <t xml:space="preserve">Guilherme Souza</t>
  </si>
  <si>
    <t xml:space="preserve">Helena Ribeiro</t>
  </si>
  <si>
    <t xml:space="preserve">Igor Santos</t>
  </si>
  <si>
    <t xml:space="preserve">João Carvalho</t>
  </si>
  <si>
    <t xml:space="preserve">Klara Fagundes</t>
  </si>
  <si>
    <t xml:space="preserve">Lúcia Mendonça</t>
  </si>
  <si>
    <t xml:space="preserve">Marcelo Novaes</t>
  </si>
  <si>
    <t xml:space="preserve">Nina Pacheco</t>
  </si>
  <si>
    <t xml:space="preserve">Olívia Rios</t>
  </si>
  <si>
    <t xml:space="preserve">Paulo Quintana</t>
  </si>
  <si>
    <t xml:space="preserve">Raquel Domingos</t>
  </si>
  <si>
    <t xml:space="preserve">Samuel Viana</t>
  </si>
  <si>
    <t xml:space="preserve">Tatiane Rocha</t>
  </si>
  <si>
    <t xml:space="preserve">Ulysses Farias</t>
  </si>
  <si>
    <t xml:space="preserve">Vanessa Moreira</t>
  </si>
  <si>
    <t xml:space="preserve">William Carvalho</t>
  </si>
  <si>
    <t xml:space="preserve">Ximena Barros</t>
  </si>
  <si>
    <t xml:space="preserve">Yara Machado</t>
  </si>
  <si>
    <t xml:space="preserve">Zacarias Costa</t>
  </si>
  <si>
    <t xml:space="preserve">André Lopes</t>
  </si>
  <si>
    <t xml:space="preserve">Beatriz Souza</t>
  </si>
  <si>
    <t xml:space="preserve">Daniela Araújo</t>
  </si>
  <si>
    <t xml:space="preserve">Eduardo Santos</t>
  </si>
  <si>
    <t xml:space="preserve">Gabriel Teixeira</t>
  </si>
  <si>
    <t xml:space="preserve">Igor Mendes</t>
  </si>
  <si>
    <t xml:space="preserve">Joana Silveira</t>
  </si>
  <si>
    <t xml:space="preserve">Lucas Martins</t>
  </si>
  <si>
    <t xml:space="preserve">Marcela Gouveia</t>
  </si>
  <si>
    <t xml:space="preserve">Nicolas Borges</t>
  </si>
  <si>
    <t xml:space="preserve">Olivia Freitas</t>
  </si>
  <si>
    <t xml:space="preserve">Paulo Nogueira</t>
  </si>
  <si>
    <t xml:space="preserve">Raquel Andrade</t>
  </si>
  <si>
    <t xml:space="preserve">Sônia Carvalho</t>
  </si>
  <si>
    <t xml:space="preserve">Tiago Rodrigues</t>
  </si>
  <si>
    <t xml:space="preserve">Ursula Monteiro</t>
  </si>
  <si>
    <t xml:space="preserve">Vanessa Pereira</t>
  </si>
  <si>
    <t xml:space="preserve">Walter Silva</t>
  </si>
  <si>
    <t xml:space="preserve">Xavier Almeida</t>
  </si>
  <si>
    <t xml:space="preserve">Yasmine Correia</t>
  </si>
  <si>
    <t xml:space="preserve">Zacarias Almeida</t>
  </si>
  <si>
    <t xml:space="preserve">Amanda Costa</t>
  </si>
  <si>
    <t xml:space="preserve">Bruno Ferreira</t>
  </si>
  <si>
    <t xml:space="preserve">Diogo Martins</t>
  </si>
  <si>
    <t xml:space="preserve">Elisa Campos</t>
  </si>
  <si>
    <t xml:space="preserve">Fabiana Lima</t>
  </si>
  <si>
    <t xml:space="preserve">Gabriel Santos</t>
  </si>
  <si>
    <t xml:space="preserve">Helena Ferreira</t>
  </si>
  <si>
    <t xml:space="preserve">Ígor Nunes</t>
  </si>
  <si>
    <t xml:space="preserve">Luciana Morais</t>
  </si>
  <si>
    <t xml:space="preserve">Marcos Vinícius</t>
  </si>
  <si>
    <t xml:space="preserve">Natália Barros</t>
  </si>
  <si>
    <t xml:space="preserve">Oscar Sampaio</t>
  </si>
  <si>
    <t xml:space="preserve">Patrícia Leite</t>
  </si>
  <si>
    <t xml:space="preserve">Quênia Rocha</t>
  </si>
  <si>
    <t xml:space="preserve">Sandra Gouveia</t>
  </si>
  <si>
    <t xml:space="preserve">Tiago Lacerda</t>
  </si>
  <si>
    <t xml:space="preserve">Ursula Fonseca</t>
  </si>
  <si>
    <t xml:space="preserve">Vanessa Andrade</t>
  </si>
  <si>
    <t xml:space="preserve">William Castro</t>
  </si>
  <si>
    <t xml:space="preserve">Xavier Monteiro</t>
  </si>
  <si>
    <t xml:space="preserve">Yasmin Figueira</t>
  </si>
  <si>
    <t xml:space="preserve">Zacarias Mendonça</t>
  </si>
  <si>
    <t xml:space="preserve">Amanda Menezes</t>
  </si>
  <si>
    <t xml:space="preserve">Bruno Santos</t>
  </si>
  <si>
    <t xml:space="preserve">Carla Ferreira</t>
  </si>
  <si>
    <t xml:space="preserve">Diogo Alves</t>
  </si>
  <si>
    <t xml:space="preserve">Fabiano Pires</t>
  </si>
  <si>
    <t xml:space="preserve">Giovana Ribeiro</t>
  </si>
  <si>
    <t xml:space="preserve">Hélio Costa</t>
  </si>
  <si>
    <t xml:space="preserve">Íris Loureiro</t>
  </si>
  <si>
    <t xml:space="preserve">João Pereira</t>
  </si>
  <si>
    <t xml:space="preserve">Klara Silva</t>
  </si>
  <si>
    <t xml:space="preserve">Luciana Barros</t>
  </si>
  <si>
    <t xml:space="preserve">Marcos Gomes</t>
  </si>
  <si>
    <t xml:space="preserve">Natália Soares</t>
  </si>
  <si>
    <t xml:space="preserve">Oscar Machado</t>
  </si>
  <si>
    <t xml:space="preserve">Patrícia Lima</t>
  </si>
  <si>
    <t xml:space="preserve">Quirino Neto</t>
  </si>
  <si>
    <t xml:space="preserve">Rafaela Souza</t>
  </si>
  <si>
    <t xml:space="preserve">Sandro Almeida</t>
  </si>
  <si>
    <t xml:space="preserve">Tânia Ribeiro</t>
  </si>
  <si>
    <t xml:space="preserve">Ugo Dias</t>
  </si>
  <si>
    <t xml:space="preserve">Valéria Lima</t>
  </si>
  <si>
    <t xml:space="preserve">William Fernandes</t>
  </si>
  <si>
    <t xml:space="preserve">Xuxa Mendes</t>
  </si>
  <si>
    <t xml:space="preserve">Ygor Farias</t>
  </si>
  <si>
    <t xml:space="preserve">Zilda Barros</t>
  </si>
  <si>
    <t xml:space="preserve">Amanda Santos</t>
  </si>
  <si>
    <t xml:space="preserve">Bruno Costa</t>
  </si>
  <si>
    <t xml:space="preserve">Carla Rodrigues</t>
  </si>
  <si>
    <t xml:space="preserve">Diogo Pereira</t>
  </si>
  <si>
    <t xml:space="preserve">Elisa Correia</t>
  </si>
  <si>
    <t xml:space="preserve">Fábio Lourenço</t>
  </si>
  <si>
    <t xml:space="preserve">Gabriela Neves</t>
  </si>
  <si>
    <t xml:space="preserve">Henrique Gonçalves</t>
  </si>
  <si>
    <t xml:space="preserve">João Marcelo Alves</t>
  </si>
  <si>
    <t xml:space="preserve">Klara Fonseca</t>
  </si>
  <si>
    <t xml:space="preserve">Lucas Mendonça</t>
  </si>
  <si>
    <t xml:space="preserve">Marcela Torres</t>
  </si>
  <si>
    <t xml:space="preserve">Natália Castro</t>
  </si>
  <si>
    <t xml:space="preserve">Oscar Martins</t>
  </si>
  <si>
    <t xml:space="preserve">Patrícia Oliveira</t>
  </si>
  <si>
    <t xml:space="preserve">Quentin Nogueira</t>
  </si>
  <si>
    <t xml:space="preserve">Raquel Silva</t>
  </si>
  <si>
    <t xml:space="preserve">Sandro Gomes</t>
  </si>
  <si>
    <t xml:space="preserve">Tânia Machado</t>
  </si>
  <si>
    <t xml:space="preserve">Xavier Reis</t>
  </si>
  <si>
    <t xml:space="preserve">Yasmin Rocha</t>
  </si>
  <si>
    <t xml:space="preserve">Zacarias Duarte</t>
  </si>
  <si>
    <t xml:space="preserve">Amanda Freitas</t>
  </si>
  <si>
    <t xml:space="preserve">Bruno Almeida</t>
  </si>
  <si>
    <t xml:space="preserve">Carla Siqueira</t>
  </si>
  <si>
    <t xml:space="preserve">Diogo Ramos</t>
  </si>
  <si>
    <t xml:space="preserve">Elisa Magalhães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</si>
</sst>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-#,##0;\-"/>
    <numFmt numFmtId="166" formatCode="#,##0.0"/>
    <numFmt numFmtId="167" formatCode="0.0%"/>
    <numFmt numFmtId="168" formatCode="#,##0"/>
    <numFmt numFmtId="169" formatCode="dd/mm/yyyy"/>
    <numFmt numFmtId="170" formatCode="mmm/yy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22C55E"/>
      <name val="Arial"/>
      <family val="0"/>
      <charset val="1"/>
    </font>
    <font>
      <sz val="10"/>
      <color rgb="FFE8E6E9"/>
      <name val="Arial"/>
      <family val="0"/>
      <charset val="1"/>
    </font>
    <font>
      <b val="true"/>
      <sz val="10"/>
      <color rgb="FF1B2A22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5B6B62"/>
      <name val="Arial"/>
      <family val="0"/>
      <charset val="1"/>
    </font>
    <font>
      <b val="true"/>
      <sz val="10"/>
      <color rgb="FF5B6B62"/>
      <name val="Arial"/>
      <family val="0"/>
      <charset val="1"/>
    </font>
    <font>
      <b val="true"/>
      <sz val="24"/>
      <color rgb="FF0B2E1A"/>
      <name val="Arial"/>
      <family val="0"/>
      <charset val="1"/>
    </font>
    <font>
      <sz val="9"/>
      <color rgb="FF5B6B62"/>
      <name val="Arial"/>
      <family val="0"/>
      <charset val="1"/>
    </font>
    <font>
      <b val="true"/>
      <sz val="12"/>
      <color rgb="FF0B2E1A"/>
      <name val="Arial"/>
      <family val="0"/>
      <charset val="1"/>
    </font>
    <font>
      <sz val="10"/>
      <color rgb="FF1B2A22"/>
      <name val="Arial"/>
      <family val="0"/>
      <charset val="1"/>
    </font>
    <font>
      <sz val="10"/>
      <color rgb="FF000000"/>
      <name val="Calibri"/>
      <family val="2"/>
    </font>
    <font>
      <b val="true"/>
      <sz val="14"/>
      <color rgb="FF0B2E1A"/>
      <name val="Arial"/>
      <family val="0"/>
      <charset val="1"/>
    </font>
    <font>
      <i val="true"/>
      <sz val="10"/>
      <color rgb="FF5B6B62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5B6B62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6F8F7"/>
        <bgColor rgb="FFFFFFFF"/>
      </patternFill>
    </fill>
    <fill>
      <patternFill patternType="solid">
        <fgColor rgb="FF0B2E1A"/>
        <bgColor rgb="FF1B2A22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6F8F7"/>
      </patternFill>
    </fill>
    <fill>
      <patternFill patternType="solid">
        <fgColor rgb="FFE8E6E9"/>
        <bgColor rgb="FFD9D9D9"/>
      </patternFill>
    </fill>
    <fill>
      <patternFill patternType="solid">
        <fgColor rgb="FF5BF6A8"/>
        <bgColor rgb="FF2AE6B1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5DBD7"/>
      </left>
      <right style="thin">
        <color rgb="FFD5DBD7"/>
      </right>
      <top style="thin">
        <color rgb="FFD5DBD7"/>
      </top>
      <bottom style="thin">
        <color rgb="FFD5DBD7"/>
      </bottom>
      <diagonal/>
    </border>
    <border diagonalUp="false" diagonalDown="false">
      <left/>
      <right/>
      <top style="thick">
        <color rgb="FF22C55E"/>
      </top>
      <bottom/>
      <diagonal/>
    </border>
    <border diagonalUp="false" diagonalDown="false">
      <left/>
      <right/>
      <top/>
      <bottom style="medium">
        <color rgb="FF22C55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10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0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0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2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5DBD7"/>
      <rgbColor rgb="FF878787"/>
      <rgbColor rgb="FF9999FF"/>
      <rgbColor rgb="FF993366"/>
      <rgbColor rgb="FFF6F8F7"/>
      <rgbColor rgb="FFE8E6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5BF6A8"/>
      <rgbColor rgb="FFFF99CC"/>
      <rgbColor rgb="FFCC99FF"/>
      <rgbColor rgb="FFFFCC99"/>
      <rgbColor rgb="FF3366FF"/>
      <rgbColor rgb="FF2AE6B1"/>
      <rgbColor rgb="FF9BC848"/>
      <rgbColor rgb="FFFFCC00"/>
      <rgbColor rgb="FFFF9900"/>
      <rgbColor rgb="FFFF6600"/>
      <rgbColor rgb="FF5B6B62"/>
      <rgbColor rgb="FF969696"/>
      <rgbColor rgb="FF003366"/>
      <rgbColor rgb="FF22C55E"/>
      <rgbColor rgb="FF0B2E1A"/>
      <rgbColor rgb="FF333300"/>
      <rgbColor rgb="FF993300"/>
      <rgbColor rgb="FF993366"/>
      <rgbColor rgb="FF333399"/>
      <rgbColor rgb="FF1B2A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"Faturamento"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rgbClr val="22c55e"/>
            </a:solidFill>
            <a:ln w="0">
              <a:solidFill>
                <a:srgbClr val="22c55e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Cálculos!$B$26:$B$28</c:f>
              <c:strCache>
                <c:ptCount val="3"/>
                <c:pt idx="0">
                  <c:v>Monthly</c:v>
                </c:pt>
                <c:pt idx="1">
                  <c:v>Quarterly</c:v>
                </c:pt>
                <c:pt idx="2">
                  <c:v>Annual</c:v>
                </c:pt>
              </c:strCache>
            </c:strRef>
          </c:cat>
          <c:val>
            <c:numRef>
              <c:f>Cálculos!$D$26:$D$28</c:f>
              <c:numCache>
                <c:formatCode>#,##0;\-#,##0;\-</c:formatCode>
                <c:ptCount val="3"/>
                <c:pt idx="0">
                  <c:v>3571</c:v>
                </c:pt>
                <c:pt idx="1">
                  <c:v>2308</c:v>
                </c:pt>
                <c:pt idx="2">
                  <c:v>1754</c:v>
                </c:pt>
              </c:numCache>
            </c:numRef>
          </c:val>
        </c:ser>
        <c:gapWidth val="150"/>
        <c:overlap val="0"/>
        <c:axId val="71162978"/>
        <c:axId val="49919203"/>
      </c:barChart>
      <c:catAx>
        <c:axId val="711629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919203"/>
        <c:crosses val="autoZero"/>
        <c:auto val="1"/>
        <c:lblAlgn val="ctr"/>
        <c:lblOffset val="100"/>
        <c:noMultiLvlLbl val="0"/>
      </c:catAx>
      <c:valAx>
        <c:axId val="49919203"/>
        <c:scaling>
          <c:orientation val="minMax"/>
          <c:min val="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1629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"Faturamento"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rgbClr val="9bc848"/>
            </a:solidFill>
            <a:ln w="0">
              <a:solidFill>
                <a:srgbClr val="9bc848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Cálculos!$B$33:$B$34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Cálculos!$D$33:$D$34</c:f>
              <c:numCache>
                <c:formatCode>#,##0;\-#,##0;\-</c:formatCode>
                <c:ptCount val="2"/>
                <c:pt idx="0">
                  <c:v>3786</c:v>
                </c:pt>
                <c:pt idx="1">
                  <c:v>3847</c:v>
                </c:pt>
              </c:numCache>
            </c:numRef>
          </c:val>
        </c:ser>
        <c:gapWidth val="150"/>
        <c:overlap val="0"/>
        <c:axId val="71960729"/>
        <c:axId val="1932662"/>
      </c:barChart>
      <c:catAx>
        <c:axId val="719607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32662"/>
        <c:crosses val="autoZero"/>
        <c:auto val="1"/>
        <c:lblAlgn val="ctr"/>
        <c:lblOffset val="100"/>
        <c:noMultiLvlLbl val="0"/>
      </c:catAx>
      <c:valAx>
        <c:axId val="1932662"/>
        <c:scaling>
          <c:orientation val="minMax"/>
          <c:min val="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9607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strRef>
              <c:f>"Assinatura base"</c:f>
              <c:strCache>
                <c:ptCount val="1"/>
                <c:pt idx="0">
                  <c:v>Assinatura base</c:v>
                </c:pt>
              </c:strCache>
            </c:strRef>
          </c:tx>
          <c:spPr>
            <a:solidFill>
              <a:srgbClr val="22c55e"/>
            </a:solidFill>
            <a:ln w="0">
              <a:solidFill>
                <a:srgbClr val="22c55e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Cálculos!$B$39:$B$41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Cálculos!$C$39:$C$41</c:f>
              <c:numCache>
                <c:formatCode>#,##0;\-#,##0;\-</c:formatCode>
                <c:ptCount val="3"/>
                <c:pt idx="0">
                  <c:v>505</c:v>
                </c:pt>
                <c:pt idx="1">
                  <c:v>960</c:v>
                </c:pt>
                <c:pt idx="2">
                  <c:v>1470</c:v>
                </c:pt>
              </c:numCache>
            </c:numRef>
          </c:val>
        </c:ser>
        <c:ser>
          <c:idx val="1"/>
          <c:order val="1"/>
          <c:tx>
            <c:strRef>
              <c:f>"EA Play"</c:f>
              <c:strCache>
                <c:ptCount val="1"/>
                <c:pt idx="0">
                  <c:v>EA Play</c:v>
                </c:pt>
              </c:strCache>
            </c:strRef>
          </c:tx>
          <c:spPr>
            <a:solidFill>
              <a:srgbClr val="2ae6b1"/>
            </a:solidFill>
            <a:ln w="0">
              <a:solidFill>
                <a:srgbClr val="2ae6b1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Cálculos!$B$39:$B$41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Cálculos!$D$39:$D$41</c:f>
              <c:numCache>
                <c:formatCode>#,##0;\-#,##0;\-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2940</c:v>
                </c:pt>
              </c:numCache>
            </c:numRef>
          </c:val>
        </c:ser>
        <c:ser>
          <c:idx val="2"/>
          <c:order val="2"/>
          <c:tx>
            <c:strRef>
              <c:f>"Minecraft"</c:f>
              <c:strCache>
                <c:ptCount val="1"/>
                <c:pt idx="0">
                  <c:v>Minecraft</c:v>
                </c:pt>
              </c:strCache>
            </c:strRef>
          </c:tx>
          <c:spPr>
            <a:solidFill>
              <a:srgbClr val="5bf6a8"/>
            </a:solidFill>
            <a:ln w="0">
              <a:solidFill>
                <a:srgbClr val="5bf6a8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Cálculos!$B$39:$B$41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Cálculos!$E$39:$E$41</c:f>
              <c:numCache>
                <c:formatCode>#,##0;\-#,##0;\-</c:formatCode>
                <c:ptCount val="3"/>
                <c:pt idx="0">
                  <c:v>0</c:v>
                </c:pt>
                <c:pt idx="1">
                  <c:v>1920</c:v>
                </c:pt>
                <c:pt idx="2">
                  <c:v>1960</c:v>
                </c:pt>
              </c:numCache>
            </c:numRef>
          </c:val>
        </c:ser>
        <c:gapWidth val="150"/>
        <c:overlap val="100"/>
        <c:axId val="79801101"/>
        <c:axId val="13632367"/>
      </c:barChart>
      <c:catAx>
        <c:axId val="798011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632367"/>
        <c:crosses val="autoZero"/>
        <c:auto val="1"/>
        <c:lblAlgn val="ctr"/>
        <c:lblOffset val="100"/>
        <c:noMultiLvlLbl val="0"/>
      </c:catAx>
      <c:valAx>
        <c:axId val="13632367"/>
        <c:scaling>
          <c:orientation val="minMax"/>
          <c:min val="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80110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"Faturamento"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rgbClr val="22c55e"/>
            </a:solidFill>
            <a:ln w="28080">
              <a:solidFill>
                <a:srgbClr val="22c55e"/>
              </a:solidFill>
              <a:round/>
            </a:ln>
          </c:spPr>
          <c:marker>
            <c:symbol val="circle"/>
            <c:size val="7"/>
            <c:spPr>
              <a:solidFill>
                <a:srgbClr val="22c55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Cálculos!$B$46:$B$57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Cálculos!$E$46:$E$57</c:f>
              <c:numCache>
                <c:formatCode>#,##0;\-#,##0;\-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9165177"/>
        <c:axId val="85434558"/>
      </c:lineChart>
      <c:catAx>
        <c:axId val="691651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434558"/>
        <c:crosses val="autoZero"/>
        <c:auto val="1"/>
        <c:lblAlgn val="ctr"/>
        <c:lblOffset val="100"/>
        <c:noMultiLvlLbl val="0"/>
      </c:catAx>
      <c:valAx>
        <c:axId val="85434558"/>
        <c:scaling>
          <c:orientation val="minMax"/>
          <c:min val="0"/>
        </c:scaling>
        <c:delete val="0"/>
        <c:axPos val="l"/>
        <c:numFmt formatCode="#,##0;\-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1651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0</xdr:rowOff>
    </xdr:from>
    <xdr:to>
      <xdr:col>9</xdr:col>
      <xdr:colOff>508320</xdr:colOff>
      <xdr:row>27</xdr:row>
      <xdr:rowOff>186840</xdr:rowOff>
    </xdr:to>
    <xdr:graphicFrame>
      <xdr:nvGraphicFramePr>
        <xdr:cNvPr id="0" name="Chart 1"/>
        <xdr:cNvGraphicFramePr/>
      </xdr:nvGraphicFramePr>
      <xdr:xfrm>
        <a:off x="141120" y="3666960"/>
        <a:ext cx="5867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14</xdr:row>
      <xdr:rowOff>0</xdr:rowOff>
    </xdr:from>
    <xdr:to>
      <xdr:col>18</xdr:col>
      <xdr:colOff>508320</xdr:colOff>
      <xdr:row>27</xdr:row>
      <xdr:rowOff>186840</xdr:rowOff>
    </xdr:to>
    <xdr:graphicFrame>
      <xdr:nvGraphicFramePr>
        <xdr:cNvPr id="1" name="Chart 2"/>
        <xdr:cNvGraphicFramePr/>
      </xdr:nvGraphicFramePr>
      <xdr:xfrm>
        <a:off x="6170400" y="3666960"/>
        <a:ext cx="5867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32</xdr:row>
      <xdr:rowOff>0</xdr:rowOff>
    </xdr:from>
    <xdr:to>
      <xdr:col>9</xdr:col>
      <xdr:colOff>508320</xdr:colOff>
      <xdr:row>45</xdr:row>
      <xdr:rowOff>186840</xdr:rowOff>
    </xdr:to>
    <xdr:graphicFrame>
      <xdr:nvGraphicFramePr>
        <xdr:cNvPr id="2" name="Chart 3"/>
        <xdr:cNvGraphicFramePr/>
      </xdr:nvGraphicFramePr>
      <xdr:xfrm>
        <a:off x="141120" y="7572240"/>
        <a:ext cx="5867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32</xdr:row>
      <xdr:rowOff>0</xdr:rowOff>
    </xdr:from>
    <xdr:to>
      <xdr:col>18</xdr:col>
      <xdr:colOff>508320</xdr:colOff>
      <xdr:row>45</xdr:row>
      <xdr:rowOff>186840</xdr:rowOff>
    </xdr:to>
    <xdr:graphicFrame>
      <xdr:nvGraphicFramePr>
        <xdr:cNvPr id="3" name="Chart 4"/>
        <xdr:cNvGraphicFramePr/>
      </xdr:nvGraphicFramePr>
      <xdr:xfrm>
        <a:off x="6170400" y="7572240"/>
        <a:ext cx="5867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5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9" min="2" style="0" width="9.51"/>
    <col collapsed="false" customWidth="true" hidden="false" outlineLevel="0" max="20" min="20" style="0" width="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36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1"/>
    </row>
    <row r="3" customFormat="false" ht="19.5" hidden="false" customHeight="true" outlineLevel="0" collapsed="false">
      <c r="A3" s="1"/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customFormat="false" ht="15" hidden="false" customHeight="false" outlineLevel="0" collapsed="false">
      <c r="A5" s="1"/>
      <c r="B5" s="4" t="s">
        <v>2</v>
      </c>
      <c r="C5" s="1"/>
      <c r="D5" s="1"/>
      <c r="E5" s="1"/>
      <c r="F5" s="4" t="s">
        <v>3</v>
      </c>
      <c r="G5" s="1"/>
      <c r="H5" s="1"/>
      <c r="I5" s="1"/>
      <c r="J5" s="4" t="s">
        <v>4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customFormat="false" ht="21.75" hidden="false" customHeight="true" outlineLevel="0" collapsed="false">
      <c r="A6" s="1"/>
      <c r="B6" s="5" t="s">
        <v>5</v>
      </c>
      <c r="C6" s="5"/>
      <c r="D6" s="5"/>
      <c r="E6" s="1"/>
      <c r="F6" s="5" t="s">
        <v>5</v>
      </c>
      <c r="G6" s="5"/>
      <c r="H6" s="5"/>
      <c r="I6" s="1"/>
      <c r="J6" s="5" t="s">
        <v>5</v>
      </c>
      <c r="K6" s="5"/>
      <c r="L6" s="5"/>
      <c r="M6" s="1"/>
      <c r="N6" s="6" t="s">
        <v>6</v>
      </c>
      <c r="O6" s="1"/>
      <c r="P6" s="1"/>
      <c r="Q6" s="1"/>
      <c r="R6" s="1"/>
      <c r="S6" s="1"/>
      <c r="T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customFormat="false" ht="15" hidden="false" customHeight="false" outlineLevel="0" collapsed="false">
      <c r="A8" s="1"/>
      <c r="B8" s="7" t="s">
        <v>7</v>
      </c>
      <c r="C8" s="7"/>
      <c r="D8" s="7"/>
      <c r="E8" s="7" t="s">
        <v>8</v>
      </c>
      <c r="F8" s="7"/>
      <c r="G8" s="7"/>
      <c r="H8" s="7" t="s">
        <v>9</v>
      </c>
      <c r="I8" s="7"/>
      <c r="J8" s="7"/>
      <c r="K8" s="7" t="s">
        <v>10</v>
      </c>
      <c r="L8" s="7"/>
      <c r="M8" s="7"/>
      <c r="N8" s="7" t="s">
        <v>11</v>
      </c>
      <c r="O8" s="7"/>
      <c r="P8" s="7"/>
      <c r="Q8" s="7" t="s">
        <v>4</v>
      </c>
      <c r="R8" s="7"/>
      <c r="S8" s="7"/>
      <c r="T8" s="1"/>
    </row>
    <row r="9" customFormat="false" ht="19.5" hidden="false" customHeight="true" outlineLevel="0" collapsed="false">
      <c r="A9" s="1"/>
      <c r="B9" s="8" t="n">
        <f aca="false">Cálculos!C9</f>
        <v>7633</v>
      </c>
      <c r="C9" s="8"/>
      <c r="D9" s="8"/>
      <c r="E9" s="8" t="n">
        <f aca="false">Cálculos!C10</f>
        <v>295</v>
      </c>
      <c r="F9" s="8"/>
      <c r="G9" s="8"/>
      <c r="H9" s="9" t="n">
        <f aca="false">Cálculos!C11</f>
        <v>25.8745762711864</v>
      </c>
      <c r="I9" s="9"/>
      <c r="J9" s="9"/>
      <c r="K9" s="8" t="n">
        <f aca="false">Cálculos!C14</f>
        <v>6820</v>
      </c>
      <c r="L9" s="8"/>
      <c r="M9" s="8"/>
      <c r="N9" s="8" t="n">
        <f aca="false">Cálculos!C13</f>
        <v>2122</v>
      </c>
      <c r="O9" s="8"/>
      <c r="P9" s="8"/>
      <c r="Q9" s="10" t="n">
        <f aca="false">Cálculos!C18</f>
        <v>0.501694915254237</v>
      </c>
      <c r="R9" s="10"/>
      <c r="S9" s="10"/>
      <c r="T9" s="1"/>
    </row>
    <row r="10" customFormat="false" ht="19.5" hidden="false" customHeight="true" outlineLevel="0" collapsed="false">
      <c r="A10" s="1"/>
      <c r="B10" s="8"/>
      <c r="C10" s="8"/>
      <c r="D10" s="8"/>
      <c r="E10" s="8"/>
      <c r="F10" s="8"/>
      <c r="G10" s="8"/>
      <c r="H10" s="9"/>
      <c r="I10" s="9"/>
      <c r="J10" s="9"/>
      <c r="K10" s="8"/>
      <c r="L10" s="8"/>
      <c r="M10" s="8"/>
      <c r="N10" s="8"/>
      <c r="O10" s="8"/>
      <c r="P10" s="8"/>
      <c r="Q10" s="10"/>
      <c r="R10" s="10"/>
      <c r="S10" s="10"/>
      <c r="T10" s="1"/>
    </row>
    <row r="11" customFormat="false" ht="15" hidden="false" customHeight="false" outlineLevel="0" collapsed="false">
      <c r="A11" s="1"/>
      <c r="B11" s="11" t="s">
        <v>12</v>
      </c>
      <c r="C11" s="11"/>
      <c r="D11" s="11"/>
      <c r="E11" s="11" t="s">
        <v>13</v>
      </c>
      <c r="F11" s="11"/>
      <c r="G11" s="11"/>
      <c r="H11" s="11" t="s">
        <v>14</v>
      </c>
      <c r="I11" s="11"/>
      <c r="J11" s="11"/>
      <c r="K11" s="11" t="str">
        <f aca="false">IF(Cálculos!C12=0,"",ROUND(Cálculos!C16*100,0)&amp;"% do valor bruto")</f>
        <v>70% do valor bruto</v>
      </c>
      <c r="L11" s="11"/>
      <c r="M11" s="11"/>
      <c r="N11" s="11" t="str">
        <f aca="false">IF(Cálculos!C12=0,"",ROUND(Cálculos!C15*100,0)&amp;"% do valor bruto")</f>
        <v>22% do valor bruto</v>
      </c>
      <c r="O11" s="11"/>
      <c r="P11" s="11"/>
      <c r="Q11" s="11" t="s">
        <v>15</v>
      </c>
      <c r="R11" s="11"/>
      <c r="S11" s="11"/>
      <c r="T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customFormat="false" ht="24" hidden="false" customHeight="true" outlineLevel="0" collapsed="false">
      <c r="A13" s="1"/>
      <c r="B13" s="12" t="s">
        <v>16</v>
      </c>
      <c r="C13" s="12"/>
      <c r="D13" s="12"/>
      <c r="E13" s="12"/>
      <c r="F13" s="12"/>
      <c r="G13" s="12"/>
      <c r="H13" s="12"/>
      <c r="I13" s="12"/>
      <c r="J13" s="12"/>
      <c r="K13" s="12" t="s">
        <v>17</v>
      </c>
      <c r="L13" s="12"/>
      <c r="M13" s="12"/>
      <c r="N13" s="12"/>
      <c r="O13" s="12"/>
      <c r="P13" s="12"/>
      <c r="Q13" s="12"/>
      <c r="R13" s="12"/>
      <c r="S13" s="12"/>
      <c r="T13" s="1"/>
    </row>
    <row r="14" customFormat="false" ht="43.5" hidden="false" customHeight="true" outlineLevel="0" collapsed="false">
      <c r="A14" s="1"/>
      <c r="B14" s="13" t="str">
        <f aca="false">IF(Cálculos!C10=0,"Sem assinaturas com esses filtros.","Assinaturas "&amp;INDEX(Cálculos!B26:B28,MATCH(MAX(Cálculos!D26:D28),Cálculos!D26:D28,0))&amp;" geram "&amp;ROUND(MAX(Cálculos!D26:D28)/Cálculos!D29*100,0)&amp;"% do faturamento ("&amp;INDEX(Cálculos!C26:C28,MATCH(MAX(Cálculos!D26:D28),Cálculos!D26:D28,0))&amp;" assinaturas). O maior ticket médio é do tipo "&amp;INDEX(Cálculos!B26:B28,MATCH(MAX(Cálculos!E26:E28),Cálculos!E26:E28,0))&amp;": "&amp;ROUND(MAX(Cálculos!E26:E28),1)&amp;" por assinatura.")</f>
        <v>Assinaturas Monthly geram 47% do faturamento (139 assinaturas). O maior ticket médio é do tipo Quarterly: 27.2 por assinatura.</v>
      </c>
      <c r="C14" s="13"/>
      <c r="D14" s="13"/>
      <c r="E14" s="13"/>
      <c r="F14" s="13"/>
      <c r="G14" s="13"/>
      <c r="H14" s="13"/>
      <c r="I14" s="13"/>
      <c r="J14" s="13"/>
      <c r="K14" s="13" t="str">
        <f aca="false">IF(Cálculos!C35=0,"Sem assinaturas com esses filtros.","Com renovação automática o ticket médio é "&amp;ROUND(Cálculos!E33,1)&amp;", contra "&amp;ROUND(Cálculos!E34,1)&amp;" sem renovação. O faturamento é "&amp;Cálculos!D33&amp;" com renovação e "&amp;Cálculos!D34&amp;" sem. O cupom médio é "&amp;ROUND(Cálculos!F33,1)&amp;" com renovação e "&amp;ROUND(Cálculos!F34,1)&amp;" sem.")</f>
        <v>Com renovação automática o ticket médio é 25.6, contra 26.2 sem renovação. O faturamento é 3786 com renovação e 3847 sem. O cupom médio é 7.2 com renovação e 7.2 sem.</v>
      </c>
      <c r="L14" s="13"/>
      <c r="M14" s="13"/>
      <c r="N14" s="13"/>
      <c r="O14" s="13"/>
      <c r="P14" s="13"/>
      <c r="Q14" s="13"/>
      <c r="R14" s="13"/>
      <c r="S14" s="13"/>
      <c r="T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customFormat="false" ht="24" hidden="false" customHeight="true" outlineLevel="0" collapsed="false">
      <c r="A31" s="1"/>
      <c r="B31" s="12" t="s">
        <v>18</v>
      </c>
      <c r="C31" s="12"/>
      <c r="D31" s="12"/>
      <c r="E31" s="12"/>
      <c r="F31" s="12"/>
      <c r="G31" s="12"/>
      <c r="H31" s="12"/>
      <c r="I31" s="12"/>
      <c r="J31" s="12"/>
      <c r="K31" s="12" t="s">
        <v>19</v>
      </c>
      <c r="L31" s="12"/>
      <c r="M31" s="12"/>
      <c r="N31" s="12"/>
      <c r="O31" s="12"/>
      <c r="P31" s="12"/>
      <c r="Q31" s="12"/>
      <c r="R31" s="12"/>
      <c r="S31" s="12"/>
      <c r="T31" s="1"/>
    </row>
    <row r="32" customFormat="false" ht="43.5" hidden="false" customHeight="true" outlineLevel="0" collapsed="false">
      <c r="A32" s="1"/>
      <c r="B32" s="13" t="str">
        <f aca="false">IF(Cálculos!G42=0,"Sem assinaturas com esses filtros.","EA Play e Minecraft somam "&amp;(Cálculos!D42+Cálculos!E42)&amp;", ou "&amp;ROUND((Cálculos!D42+Cálculos!E42)/(Cálculos!C42+Cálculos!D42+Cálculos!E42)*100,0)&amp;"% do valor bruto. "&amp;IF(AND(Cálculos!D39=0,Cálculos!D40=0,Cálculos!D41&gt;0),"O EA Play só aparece no plano Ultimate. ","")&amp;"Os cupons tiram "&amp;Cálculos!F42&amp;" do valor bruto.")</f>
        <v>EA Play e Minecraft somam 6820, ou 70% do valor bruto. O EA Play só aparece no plano Ultimate. Os cupons tiram 2122 do valor bruto.</v>
      </c>
      <c r="C32" s="13"/>
      <c r="D32" s="13"/>
      <c r="E32" s="13"/>
      <c r="F32" s="13"/>
      <c r="G32" s="13"/>
      <c r="H32" s="13"/>
      <c r="I32" s="13"/>
      <c r="J32" s="13"/>
      <c r="K32" s="13" t="str">
        <f aca="false">IF(Cálculos!E58=0,"Sem assinaturas com esses filtros.","O mês de maior faturamento é "&amp;INDEX(Cálculos!B46:B57,MATCH(MAX(Cálculos!E46:E57),Cálculos!E46:E57,0))&amp;" ("&amp;MAX(Cálculos!E46:E57)&amp;"). Janeiro e fevereiro têm poucas vendas na base, e dezembro só vai até 16/12.")</f>
        <v>O mês de maior faturamento é Out (832). Janeiro e fevereiro têm poucas vendas na base, e dezembro só vai até 16/12.</v>
      </c>
      <c r="L32" s="13"/>
      <c r="M32" s="13"/>
      <c r="N32" s="13"/>
      <c r="O32" s="13"/>
      <c r="P32" s="13"/>
      <c r="Q32" s="13"/>
      <c r="R32" s="13"/>
      <c r="S32" s="13"/>
      <c r="T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customFormat="false" ht="25.5" hidden="false" customHeight="true" outlineLevel="0" collapsed="false">
      <c r="A50" s="1"/>
      <c r="B50" s="14" t="s">
        <v>20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"/>
    </row>
    <row r="51" customFormat="false" ht="25.5" hidden="false" customHeight="true" outlineLevel="0" collapsed="false">
      <c r="A51" s="1"/>
      <c r="B51" s="14" t="s">
        <v>21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"/>
    </row>
    <row r="52" customFormat="false" ht="25.5" hidden="false" customHeight="true" outlineLevel="0" collapsed="false">
      <c r="A52" s="1"/>
      <c r="B52" s="14" t="s">
        <v>22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</sheetData>
  <mergeCells count="34">
    <mergeCell ref="B2:S2"/>
    <mergeCell ref="B3:S3"/>
    <mergeCell ref="B6:D6"/>
    <mergeCell ref="F6:H6"/>
    <mergeCell ref="J6:L6"/>
    <mergeCell ref="B8:D8"/>
    <mergeCell ref="E8:G8"/>
    <mergeCell ref="H8:J8"/>
    <mergeCell ref="K8:M8"/>
    <mergeCell ref="N8:P8"/>
    <mergeCell ref="Q8:S8"/>
    <mergeCell ref="B9:D10"/>
    <mergeCell ref="E9:G10"/>
    <mergeCell ref="H9:J10"/>
    <mergeCell ref="K9:M10"/>
    <mergeCell ref="N9:P10"/>
    <mergeCell ref="Q9:S10"/>
    <mergeCell ref="B11:D11"/>
    <mergeCell ref="E11:G11"/>
    <mergeCell ref="H11:J11"/>
    <mergeCell ref="K11:M11"/>
    <mergeCell ref="N11:P11"/>
    <mergeCell ref="Q11:S11"/>
    <mergeCell ref="B13:J13"/>
    <mergeCell ref="K13:S13"/>
    <mergeCell ref="B14:J14"/>
    <mergeCell ref="K14:S14"/>
    <mergeCell ref="B31:J31"/>
    <mergeCell ref="K31:S31"/>
    <mergeCell ref="B32:J32"/>
    <mergeCell ref="K32:S32"/>
    <mergeCell ref="B50:S50"/>
    <mergeCell ref="B51:S51"/>
    <mergeCell ref="B52:S52"/>
  </mergeCells>
  <dataValidations count="3">
    <dataValidation allowBlank="false" error="Escolha uma opção da lista." errorStyle="stop" errorTitle="Opção inválida" operator="between" showDropDown="false" showErrorMessage="true" showInputMessage="false" sqref="B6" type="list">
      <formula1>"Todos,Core,Standard,Ultimate"</formula1>
      <formula2>0</formula2>
    </dataValidation>
    <dataValidation allowBlank="false" error="Escolha uma opção da lista." errorStyle="stop" errorTitle="Opção inválida" operator="between" showDropDown="false" showErrorMessage="true" showInputMessage="false" sqref="F6" type="list">
      <formula1>"Todos,Monthly,Quarterly,Annual"</formula1>
      <formula2>0</formula2>
    </dataValidation>
    <dataValidation allowBlank="false" error="Escolha uma opção da lista." errorStyle="stop" errorTitle="Opção inválida" operator="between" showDropDown="false" showErrorMessage="true" showInputMessage="false" sqref="J6" type="list">
      <formula1>"Todos,Yes,No"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52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7" min="7" style="0" width="16"/>
  </cols>
  <sheetData>
    <row r="2" customFormat="false" ht="17.35" hidden="false" customHeight="false" outlineLevel="0" collapsed="false">
      <c r="B2" s="15" t="s">
        <v>23</v>
      </c>
    </row>
    <row r="3" customFormat="false" ht="15" hidden="false" customHeight="false" outlineLevel="0" collapsed="false">
      <c r="B3" s="16" t="s">
        <v>24</v>
      </c>
    </row>
    <row r="4" customFormat="false" ht="15" hidden="false" customHeight="false" outlineLevel="0" collapsed="false">
      <c r="B4" s="17" t="s">
        <v>25</v>
      </c>
      <c r="C4" s="18" t="str">
        <f aca="false">IF(Dashboard!$B$6="Todos","*",Dashboard!$B$6)</f>
        <v>*</v>
      </c>
    </row>
    <row r="5" customFormat="false" ht="15" hidden="false" customHeight="false" outlineLevel="0" collapsed="false">
      <c r="B5" s="17" t="s">
        <v>26</v>
      </c>
      <c r="C5" s="18" t="str">
        <f aca="false">IF(Dashboard!$F$6="Todos","*",Dashboard!$F$6)</f>
        <v>*</v>
      </c>
    </row>
    <row r="6" customFormat="false" ht="15" hidden="false" customHeight="false" outlineLevel="0" collapsed="false">
      <c r="B6" s="17" t="s">
        <v>27</v>
      </c>
      <c r="C6" s="18" t="str">
        <f aca="false">IF(Dashboard!$J$6="Todos","*",Dashboard!$J$6)</f>
        <v>*</v>
      </c>
    </row>
    <row r="8" customFormat="false" ht="15" hidden="false" customHeight="false" outlineLevel="0" collapsed="false">
      <c r="B8" s="19" t="s">
        <v>28</v>
      </c>
      <c r="C8" s="20"/>
      <c r="D8" s="20"/>
    </row>
    <row r="9" customFormat="false" ht="15" hidden="false" customHeight="false" outlineLevel="0" collapsed="false">
      <c r="B9" s="17" t="s">
        <v>29</v>
      </c>
      <c r="C9" s="21" t="n">
        <f aca="false">SUMIFS(Bases!$M$2:$M$1000,Bases!$C$2:$C$1000,$C$4,Bases!$G$2:$G$1000,$C$5,Bases!$E$2:$E$1000,$C$6)</f>
        <v>7633</v>
      </c>
    </row>
    <row r="10" customFormat="false" ht="15" hidden="false" customHeight="false" outlineLevel="0" collapsed="false">
      <c r="B10" s="17" t="s">
        <v>8</v>
      </c>
      <c r="C10" s="21" t="n">
        <f aca="false">COUNTIFS(Bases!$C$2:$C$1000,$C$4,Bases!$G$2:$G$1000,$C$5,Bases!$E$2:$E$1000,$C$6)</f>
        <v>295</v>
      </c>
    </row>
    <row r="11" customFormat="false" ht="15" hidden="false" customHeight="false" outlineLevel="0" collapsed="false">
      <c r="B11" s="17" t="s">
        <v>9</v>
      </c>
      <c r="C11" s="22" t="n">
        <f aca="false">IF(C10=0,0,C9/C10)</f>
        <v>25.8745762711864</v>
      </c>
    </row>
    <row r="12" customFormat="false" ht="15" hidden="false" customHeight="false" outlineLevel="0" collapsed="false">
      <c r="B12" s="17" t="s">
        <v>30</v>
      </c>
      <c r="C12" s="21" t="n">
        <f aca="false">SUMIFS(Bases!$F$2:$F$1000,Bases!$C$2:$C$1000,$C$4,Bases!$G$2:$G$1000,$C$5,Bases!$E$2:$E$1000,$C$6)+SUMIFS(Bases!$O$2:$O$1000,Bases!$C$2:$C$1000,$C$4,Bases!$G$2:$G$1000,$C$5,Bases!$E$2:$E$1000,$C$6)+SUMIFS(Bases!$K$2:$K$1000,Bases!$C$2:$C$1000,$C$4,Bases!$G$2:$G$1000,$C$5,Bases!$E$2:$E$1000,$C$6)</f>
        <v>9755</v>
      </c>
    </row>
    <row r="13" customFormat="false" ht="15" hidden="false" customHeight="false" outlineLevel="0" collapsed="false">
      <c r="B13" s="17" t="s">
        <v>11</v>
      </c>
      <c r="C13" s="21" t="n">
        <f aca="false">SUMIFS(Bases!$L$2:$L$1000,Bases!$C$2:$C$1000,$C$4,Bases!$G$2:$G$1000,$C$5,Bases!$E$2:$E$1000,$C$6)</f>
        <v>2122</v>
      </c>
    </row>
    <row r="14" customFormat="false" ht="15" hidden="false" customHeight="false" outlineLevel="0" collapsed="false">
      <c r="B14" s="17" t="s">
        <v>31</v>
      </c>
      <c r="C14" s="21" t="n">
        <f aca="false">SUMIFS(Bases!$O$2:$O$1000,Bases!$C$2:$C$1000,$C$4,Bases!$G$2:$G$1000,$C$5,Bases!$E$2:$E$1000,$C$6)+SUMIFS(Bases!$K$2:$K$1000,Bases!$C$2:$C$1000,$C$4,Bases!$G$2:$G$1000,$C$5,Bases!$E$2:$E$1000,$C$6)</f>
        <v>6820</v>
      </c>
    </row>
    <row r="15" customFormat="false" ht="15" hidden="false" customHeight="false" outlineLevel="0" collapsed="false">
      <c r="B15" s="17" t="s">
        <v>32</v>
      </c>
      <c r="C15" s="23" t="n">
        <f aca="false">IF(C12=0,0,C13/C12)</f>
        <v>0.217529472065607</v>
      </c>
    </row>
    <row r="16" customFormat="false" ht="15" hidden="false" customHeight="false" outlineLevel="0" collapsed="false">
      <c r="B16" s="17" t="s">
        <v>33</v>
      </c>
      <c r="C16" s="23" t="n">
        <f aca="false">IF(C12=0,0,C14/C12)</f>
        <v>0.699128651973347</v>
      </c>
    </row>
    <row r="17" customFormat="false" ht="15" hidden="false" customHeight="false" outlineLevel="0" collapsed="false">
      <c r="B17" s="17" t="s">
        <v>34</v>
      </c>
      <c r="C17" s="21" t="n">
        <f aca="false">COUNTIFS(Bases!$C$2:$C$1000,$C$4,Bases!$G$2:$G$1000,$C$5,Bases!$E$2:$E$1000,$C$6,Bases!$E$2:$E$1000,"Yes")</f>
        <v>148</v>
      </c>
    </row>
    <row r="18" customFormat="false" ht="15" hidden="false" customHeight="false" outlineLevel="0" collapsed="false">
      <c r="B18" s="17" t="s">
        <v>35</v>
      </c>
      <c r="C18" s="23" t="n">
        <f aca="false">IF(C10=0,0,C17/C10)</f>
        <v>0.501694915254237</v>
      </c>
    </row>
    <row r="20" customFormat="false" ht="15" hidden="false" customHeight="false" outlineLevel="0" collapsed="false">
      <c r="B20" s="17" t="s">
        <v>36</v>
      </c>
      <c r="C20" s="21" t="n">
        <f aca="false">COUNTA(Bases!$A$2:$A$1000)</f>
        <v>295</v>
      </c>
    </row>
    <row r="21" customFormat="false" ht="15" hidden="false" customHeight="false" outlineLevel="0" collapsed="false">
      <c r="B21" s="17" t="s">
        <v>37</v>
      </c>
      <c r="C21" s="21" t="n">
        <f aca="false">COUNTIF(Bases!$Q$2:$Q$1000,"Divergente")</f>
        <v>0</v>
      </c>
    </row>
    <row r="22" customFormat="false" ht="15" hidden="false" customHeight="false" outlineLevel="0" collapsed="false">
      <c r="B22" s="17" t="s">
        <v>38</v>
      </c>
      <c r="C22" s="24" t="str">
        <f aca="false">IF(C21=0,"OK: Total Value = preço + EA Play + Minecraft − cupom","Divergente")</f>
        <v>OK: Total Value = preço + EA Play + Minecraft − cupom</v>
      </c>
    </row>
    <row r="24" customFormat="false" ht="15" hidden="false" customHeight="false" outlineLevel="0" collapsed="false">
      <c r="B24" s="25" t="s">
        <v>39</v>
      </c>
    </row>
    <row r="25" customFormat="false" ht="30" hidden="false" customHeight="true" outlineLevel="0" collapsed="false">
      <c r="B25" s="26" t="s">
        <v>40</v>
      </c>
      <c r="C25" s="26" t="s">
        <v>8</v>
      </c>
      <c r="D25" s="26" t="s">
        <v>7</v>
      </c>
      <c r="E25" s="26" t="s">
        <v>9</v>
      </c>
      <c r="F25" s="26" t="s">
        <v>41</v>
      </c>
    </row>
    <row r="26" customFormat="false" ht="15" hidden="false" customHeight="false" outlineLevel="0" collapsed="false">
      <c r="B26" s="17" t="s">
        <v>42</v>
      </c>
      <c r="C26" s="27" t="n">
        <f aca="false">COUNTIFS(Bases!$C$2:$C$1000,$C$4,Bases!$G$2:$G$1000,$B26,Bases!$E$2:$E$1000,$C$6)</f>
        <v>139</v>
      </c>
      <c r="D26" s="27" t="n">
        <f aca="false">SUMIFS(Bases!$M$2:$M$1000,Bases!$C$2:$C$1000,$C$4,Bases!$G$2:$G$1000,$B26,Bases!$E$2:$E$1000,$C$6)</f>
        <v>3571</v>
      </c>
      <c r="E26" s="28" t="n">
        <f aca="false">IF(C26=0,0,D26/C26)</f>
        <v>25.6906474820144</v>
      </c>
      <c r="F26" s="29" t="n">
        <f aca="false">IF($D$29=0,0,D26/$D$29)</f>
        <v>0.467837023450806</v>
      </c>
    </row>
    <row r="27" customFormat="false" ht="15" hidden="false" customHeight="false" outlineLevel="0" collapsed="false">
      <c r="B27" s="17" t="s">
        <v>43</v>
      </c>
      <c r="C27" s="27" t="n">
        <f aca="false">COUNTIFS(Bases!$C$2:$C$1000,$C$4,Bases!$G$2:$G$1000,$B27,Bases!$E$2:$E$1000,$C$6)</f>
        <v>85</v>
      </c>
      <c r="D27" s="27" t="n">
        <f aca="false">SUMIFS(Bases!$M$2:$M$1000,Bases!$C$2:$C$1000,$C$4,Bases!$G$2:$G$1000,$B27,Bases!$E$2:$E$1000,$C$6)</f>
        <v>2308</v>
      </c>
      <c r="E27" s="28" t="n">
        <f aca="false">IF(C27=0,0,D27/C27)</f>
        <v>27.1529411764706</v>
      </c>
      <c r="F27" s="29" t="n">
        <f aca="false">IF($D$29=0,0,D27/$D$29)</f>
        <v>0.302371282588759</v>
      </c>
    </row>
    <row r="28" customFormat="false" ht="15" hidden="false" customHeight="false" outlineLevel="0" collapsed="false">
      <c r="B28" s="17" t="s">
        <v>44</v>
      </c>
      <c r="C28" s="27" t="n">
        <f aca="false">COUNTIFS(Bases!$C$2:$C$1000,$C$4,Bases!$G$2:$G$1000,$B28,Bases!$E$2:$E$1000,$C$6)</f>
        <v>71</v>
      </c>
      <c r="D28" s="27" t="n">
        <f aca="false">SUMIFS(Bases!$M$2:$M$1000,Bases!$C$2:$C$1000,$C$4,Bases!$G$2:$G$1000,$B28,Bases!$E$2:$E$1000,$C$6)</f>
        <v>1754</v>
      </c>
      <c r="E28" s="28" t="n">
        <f aca="false">IF(C28=0,0,D28/C28)</f>
        <v>24.7042253521127</v>
      </c>
      <c r="F28" s="29" t="n">
        <f aca="false">IF($D$29=0,0,D28/$D$29)</f>
        <v>0.229791693960435</v>
      </c>
    </row>
    <row r="29" customFormat="false" ht="15" hidden="false" customHeight="false" outlineLevel="0" collapsed="false">
      <c r="B29" s="30" t="s">
        <v>45</v>
      </c>
      <c r="C29" s="21" t="n">
        <f aca="false">SUM(C26:C28)</f>
        <v>295</v>
      </c>
      <c r="D29" s="21" t="n">
        <f aca="false">SUM(D26:D28)</f>
        <v>7633</v>
      </c>
      <c r="E29" s="22" t="n">
        <f aca="false">IF(C29=0,0,D29/C29)</f>
        <v>25.8745762711864</v>
      </c>
      <c r="F29" s="23" t="n">
        <f aca="false">SUM(F26:F28)</f>
        <v>1</v>
      </c>
    </row>
    <row r="31" customFormat="false" ht="15" hidden="false" customHeight="false" outlineLevel="0" collapsed="false">
      <c r="B31" s="25" t="s">
        <v>46</v>
      </c>
    </row>
    <row r="32" customFormat="false" ht="30" hidden="false" customHeight="true" outlineLevel="0" collapsed="false">
      <c r="B32" s="26" t="s">
        <v>4</v>
      </c>
      <c r="C32" s="26" t="s">
        <v>8</v>
      </c>
      <c r="D32" s="26" t="s">
        <v>7</v>
      </c>
      <c r="E32" s="26" t="s">
        <v>9</v>
      </c>
      <c r="F32" s="26" t="s">
        <v>47</v>
      </c>
    </row>
    <row r="33" customFormat="false" ht="15" hidden="false" customHeight="false" outlineLevel="0" collapsed="false">
      <c r="B33" s="17" t="s">
        <v>48</v>
      </c>
      <c r="C33" s="27" t="n">
        <f aca="false">COUNTIFS(Bases!$C$2:$C$1000,$C$4,Bases!$G$2:$G$1000,$C$5,Bases!$E$2:$E$1000,$B33)</f>
        <v>148</v>
      </c>
      <c r="D33" s="27" t="n">
        <f aca="false">SUMIFS(Bases!$M$2:$M$1000,Bases!$C$2:$C$1000,$C$4,Bases!$G$2:$G$1000,$C$5,Bases!$E$2:$E$1000,$B33)</f>
        <v>3786</v>
      </c>
      <c r="E33" s="28" t="n">
        <f aca="false">IF(C33=0,0,D33/C33)</f>
        <v>25.5810810810811</v>
      </c>
      <c r="F33" s="28" t="n">
        <f aca="false">IF(C33=0,0,SUMIFS(Bases!$L$2:$L$1000,Bases!$C$2:$C$1000,$C$4,Bases!$G$2:$G$1000,$C$5,Bases!$E$2:$E$1000,$B33)/C33)</f>
        <v>7.15540540540541</v>
      </c>
    </row>
    <row r="34" customFormat="false" ht="15" hidden="false" customHeight="false" outlineLevel="0" collapsed="false">
      <c r="B34" s="17" t="s">
        <v>49</v>
      </c>
      <c r="C34" s="27" t="n">
        <f aca="false">COUNTIFS(Bases!$C$2:$C$1000,$C$4,Bases!$G$2:$G$1000,$C$5,Bases!$E$2:$E$1000,$B34)</f>
        <v>147</v>
      </c>
      <c r="D34" s="27" t="n">
        <f aca="false">SUMIFS(Bases!$M$2:$M$1000,Bases!$C$2:$C$1000,$C$4,Bases!$G$2:$G$1000,$C$5,Bases!$E$2:$E$1000,$B34)</f>
        <v>3847</v>
      </c>
      <c r="E34" s="28" t="n">
        <f aca="false">IF(C34=0,0,D34/C34)</f>
        <v>26.1700680272109</v>
      </c>
      <c r="F34" s="28" t="n">
        <f aca="false">IF(C34=0,0,SUMIFS(Bases!$L$2:$L$1000,Bases!$C$2:$C$1000,$C$4,Bases!$G$2:$G$1000,$C$5,Bases!$E$2:$E$1000,$B34)/C34)</f>
        <v>7.2312925170068</v>
      </c>
    </row>
    <row r="35" customFormat="false" ht="15" hidden="false" customHeight="false" outlineLevel="0" collapsed="false">
      <c r="B35" s="30" t="s">
        <v>45</v>
      </c>
      <c r="C35" s="21" t="n">
        <f aca="false">SUM(C33:C34)</f>
        <v>295</v>
      </c>
      <c r="D35" s="21" t="n">
        <f aca="false">SUM(D33:D34)</f>
        <v>7633</v>
      </c>
      <c r="E35" s="22" t="n">
        <f aca="false">IF(C35=0,0,D35/C35)</f>
        <v>25.8745762711864</v>
      </c>
      <c r="F35" s="22" t="n">
        <f aca="false">IF(C35=0,0,(F33*C33+F34*C34)/C35)</f>
        <v>7.19322033898305</v>
      </c>
    </row>
    <row r="37" customFormat="false" ht="15" hidden="false" customHeight="false" outlineLevel="0" collapsed="false">
      <c r="B37" s="25" t="s">
        <v>50</v>
      </c>
    </row>
    <row r="38" customFormat="false" ht="30" hidden="false" customHeight="true" outlineLevel="0" collapsed="false">
      <c r="B38" s="26" t="s">
        <v>2</v>
      </c>
      <c r="C38" s="26" t="s">
        <v>51</v>
      </c>
      <c r="D38" s="26" t="s">
        <v>52</v>
      </c>
      <c r="E38" s="26" t="s">
        <v>53</v>
      </c>
      <c r="F38" s="26" t="s">
        <v>54</v>
      </c>
      <c r="G38" s="26" t="s">
        <v>7</v>
      </c>
    </row>
    <row r="39" customFormat="false" ht="15" hidden="false" customHeight="false" outlineLevel="0" collapsed="false">
      <c r="B39" s="17" t="s">
        <v>55</v>
      </c>
      <c r="C39" s="27" t="n">
        <f aca="false">SUMIFS(Bases!$F$2:$F$1000,Bases!$C$2:$C$1000,$B39,Bases!$G$2:$G$1000,$C$5,Bases!$E$2:$E$1000,$C$6)</f>
        <v>505</v>
      </c>
      <c r="D39" s="27" t="n">
        <f aca="false">SUMIFS(Bases!$O$2:$O$1000,Bases!$C$2:$C$1000,$B39,Bases!$G$2:$G$1000,$C$5,Bases!$E$2:$E$1000,$C$6)</f>
        <v>0</v>
      </c>
      <c r="E39" s="27" t="n">
        <f aca="false">SUMIFS(Bases!$K$2:$K$1000,Bases!$C$2:$C$1000,$B39,Bases!$G$2:$G$1000,$C$5,Bases!$E$2:$E$1000,$C$6)</f>
        <v>0</v>
      </c>
      <c r="F39" s="27" t="n">
        <f aca="false">SUMIFS(Bases!$L$2:$L$1000,Bases!$C$2:$C$1000,$B39,Bases!$G$2:$G$1000,$C$5,Bases!$E$2:$E$1000,$C$6)</f>
        <v>61</v>
      </c>
      <c r="G39" s="27" t="n">
        <f aca="false">SUMIFS(Bases!$M$2:$M$1000,Bases!$C$2:$C$1000,$B39,Bases!$G$2:$G$1000,$C$5,Bases!$E$2:$E$1000,$C$6)</f>
        <v>444</v>
      </c>
    </row>
    <row r="40" customFormat="false" ht="15" hidden="false" customHeight="false" outlineLevel="0" collapsed="false">
      <c r="B40" s="17" t="s">
        <v>56</v>
      </c>
      <c r="C40" s="27" t="n">
        <f aca="false">SUMIFS(Bases!$F$2:$F$1000,Bases!$C$2:$C$1000,$B40,Bases!$G$2:$G$1000,$C$5,Bases!$E$2:$E$1000,$C$6)</f>
        <v>960</v>
      </c>
      <c r="D40" s="27" t="n">
        <f aca="false">SUMIFS(Bases!$O$2:$O$1000,Bases!$C$2:$C$1000,$B40,Bases!$G$2:$G$1000,$C$5,Bases!$E$2:$E$1000,$C$6)</f>
        <v>0</v>
      </c>
      <c r="E40" s="27" t="n">
        <f aca="false">SUMIFS(Bases!$K$2:$K$1000,Bases!$C$2:$C$1000,$B40,Bases!$G$2:$G$1000,$C$5,Bases!$E$2:$E$1000,$C$6)</f>
        <v>1920</v>
      </c>
      <c r="F40" s="27" t="n">
        <f aca="false">SUMIFS(Bases!$L$2:$L$1000,Bases!$C$2:$C$1000,$B40,Bases!$G$2:$G$1000,$C$5,Bases!$E$2:$E$1000,$C$6)</f>
        <v>1079</v>
      </c>
      <c r="G40" s="27" t="n">
        <f aca="false">SUMIFS(Bases!$M$2:$M$1000,Bases!$C$2:$C$1000,$B40,Bases!$G$2:$G$1000,$C$5,Bases!$E$2:$E$1000,$C$6)</f>
        <v>1801</v>
      </c>
    </row>
    <row r="41" customFormat="false" ht="15" hidden="false" customHeight="false" outlineLevel="0" collapsed="false">
      <c r="B41" s="17" t="s">
        <v>57</v>
      </c>
      <c r="C41" s="27" t="n">
        <f aca="false">SUMIFS(Bases!$F$2:$F$1000,Bases!$C$2:$C$1000,$B41,Bases!$G$2:$G$1000,$C$5,Bases!$E$2:$E$1000,$C$6)</f>
        <v>1470</v>
      </c>
      <c r="D41" s="27" t="n">
        <f aca="false">SUMIFS(Bases!$O$2:$O$1000,Bases!$C$2:$C$1000,$B41,Bases!$G$2:$G$1000,$C$5,Bases!$E$2:$E$1000,$C$6)</f>
        <v>2940</v>
      </c>
      <c r="E41" s="27" t="n">
        <f aca="false">SUMIFS(Bases!$K$2:$K$1000,Bases!$C$2:$C$1000,$B41,Bases!$G$2:$G$1000,$C$5,Bases!$E$2:$E$1000,$C$6)</f>
        <v>1960</v>
      </c>
      <c r="F41" s="27" t="n">
        <f aca="false">SUMIFS(Bases!$L$2:$L$1000,Bases!$C$2:$C$1000,$B41,Bases!$G$2:$G$1000,$C$5,Bases!$E$2:$E$1000,$C$6)</f>
        <v>982</v>
      </c>
      <c r="G41" s="27" t="n">
        <f aca="false">SUMIFS(Bases!$M$2:$M$1000,Bases!$C$2:$C$1000,$B41,Bases!$G$2:$G$1000,$C$5,Bases!$E$2:$E$1000,$C$6)</f>
        <v>5388</v>
      </c>
    </row>
    <row r="42" customFormat="false" ht="15" hidden="false" customHeight="false" outlineLevel="0" collapsed="false">
      <c r="B42" s="30" t="s">
        <v>45</v>
      </c>
      <c r="C42" s="21" t="n">
        <f aca="false">SUM(C39:C41)</f>
        <v>2935</v>
      </c>
      <c r="D42" s="21" t="n">
        <f aca="false">SUM(D39:D41)</f>
        <v>2940</v>
      </c>
      <c r="E42" s="21" t="n">
        <f aca="false">SUM(E39:E41)</f>
        <v>3880</v>
      </c>
      <c r="F42" s="21" t="n">
        <f aca="false">SUM(F39:F41)</f>
        <v>2122</v>
      </c>
      <c r="G42" s="21" t="n">
        <f aca="false">SUM(G39:G41)</f>
        <v>7633</v>
      </c>
    </row>
    <row r="44" customFormat="false" ht="15" hidden="false" customHeight="false" outlineLevel="0" collapsed="false">
      <c r="B44" s="25" t="s">
        <v>58</v>
      </c>
    </row>
    <row r="45" customFormat="false" ht="30" hidden="false" customHeight="true" outlineLevel="0" collapsed="false">
      <c r="B45" s="26" t="s">
        <v>59</v>
      </c>
      <c r="C45" s="26" t="s">
        <v>60</v>
      </c>
      <c r="D45" s="26" t="s">
        <v>8</v>
      </c>
      <c r="E45" s="26" t="s">
        <v>7</v>
      </c>
    </row>
    <row r="46" customFormat="false" ht="15" hidden="false" customHeight="false" outlineLevel="0" collapsed="false">
      <c r="B46" s="17" t="s">
        <v>61</v>
      </c>
      <c r="C46" s="31" t="n">
        <f aca="false">DATE(YEAR(MIN(Bases!$D$2:$D$1000)),1,1)</f>
        <v>45292</v>
      </c>
      <c r="D46" s="27" t="n">
        <f aca="false">COUNTIFS(Bases!$C$2:$C$1000,$C$4,Bases!$G$2:$G$1000,$C$5,Bases!$E$2:$E$1000,$C$6,Bases!$N$2:$N$1000,$C46)</f>
        <v>2</v>
      </c>
      <c r="E46" s="27" t="n">
        <f aca="false">SUMIFS(Bases!$M$2:$M$1000,Bases!$C$2:$C$1000,$C$4,Bases!$G$2:$G$1000,$C$5,Bases!$E$2:$E$1000,$C$6,Bases!$N$2:$N$1000,$C46)</f>
        <v>65</v>
      </c>
    </row>
    <row r="47" customFormat="false" ht="15" hidden="false" customHeight="false" outlineLevel="0" collapsed="false">
      <c r="B47" s="17" t="s">
        <v>62</v>
      </c>
      <c r="C47" s="31" t="n">
        <f aca="false">DATE(YEAR(MIN(Bases!$D$2:$D$1000)),2,1)</f>
        <v>45323</v>
      </c>
      <c r="D47" s="27" t="n">
        <f aca="false">COUNTIFS(Bases!$C$2:$C$1000,$C$4,Bases!$G$2:$G$1000,$C$5,Bases!$E$2:$E$1000,$C$6,Bases!$N$2:$N$1000,$C47)</f>
        <v>2</v>
      </c>
      <c r="E47" s="27" t="n">
        <f aca="false">SUMIFS(Bases!$M$2:$M$1000,Bases!$C$2:$C$1000,$C$4,Bases!$G$2:$G$1000,$C$5,Bases!$E$2:$E$1000,$C$6,Bases!$N$2:$N$1000,$C47)</f>
        <v>82</v>
      </c>
    </row>
    <row r="48" customFormat="false" ht="15" hidden="false" customHeight="false" outlineLevel="0" collapsed="false">
      <c r="B48" s="17" t="s">
        <v>63</v>
      </c>
      <c r="C48" s="31" t="n">
        <f aca="false">DATE(YEAR(MIN(Bases!$D$2:$D$1000)),3,1)</f>
        <v>45352</v>
      </c>
      <c r="D48" s="27" t="n">
        <f aca="false">COUNTIFS(Bases!$C$2:$C$1000,$C$4,Bases!$G$2:$G$1000,$C$5,Bases!$E$2:$E$1000,$C$6,Bases!$N$2:$N$1000,$C48)</f>
        <v>31</v>
      </c>
      <c r="E48" s="27" t="n">
        <f aca="false">SUMIFS(Bases!$M$2:$M$1000,Bases!$C$2:$C$1000,$C$4,Bases!$G$2:$G$1000,$C$5,Bases!$E$2:$E$1000,$C$6,Bases!$N$2:$N$1000,$C48)</f>
        <v>801</v>
      </c>
    </row>
    <row r="49" customFormat="false" ht="15" hidden="false" customHeight="false" outlineLevel="0" collapsed="false">
      <c r="B49" s="17" t="s">
        <v>64</v>
      </c>
      <c r="C49" s="31" t="n">
        <f aca="false">DATE(YEAR(MIN(Bases!$D$2:$D$1000)),4,1)</f>
        <v>45383</v>
      </c>
      <c r="D49" s="27" t="n">
        <f aca="false">COUNTIFS(Bases!$C$2:$C$1000,$C$4,Bases!$G$2:$G$1000,$C$5,Bases!$E$2:$E$1000,$C$6,Bases!$N$2:$N$1000,$C49)</f>
        <v>30</v>
      </c>
      <c r="E49" s="27" t="n">
        <f aca="false">SUMIFS(Bases!$M$2:$M$1000,Bases!$C$2:$C$1000,$C$4,Bases!$G$2:$G$1000,$C$5,Bases!$E$2:$E$1000,$C$6,Bases!$N$2:$N$1000,$C49)</f>
        <v>782</v>
      </c>
    </row>
    <row r="50" customFormat="false" ht="15" hidden="false" customHeight="false" outlineLevel="0" collapsed="false">
      <c r="B50" s="17" t="s">
        <v>65</v>
      </c>
      <c r="C50" s="31" t="n">
        <f aca="false">DATE(YEAR(MIN(Bases!$D$2:$D$1000)),5,1)</f>
        <v>45413</v>
      </c>
      <c r="D50" s="27" t="n">
        <f aca="false">COUNTIFS(Bases!$C$2:$C$1000,$C$4,Bases!$G$2:$G$1000,$C$5,Bases!$E$2:$E$1000,$C$6,Bases!$N$2:$N$1000,$C50)</f>
        <v>31</v>
      </c>
      <c r="E50" s="27" t="n">
        <f aca="false">SUMIFS(Bases!$M$2:$M$1000,Bases!$C$2:$C$1000,$C$4,Bases!$G$2:$G$1000,$C$5,Bases!$E$2:$E$1000,$C$6,Bases!$N$2:$N$1000,$C50)</f>
        <v>777</v>
      </c>
    </row>
    <row r="51" customFormat="false" ht="15" hidden="false" customHeight="false" outlineLevel="0" collapsed="false">
      <c r="B51" s="17" t="s">
        <v>66</v>
      </c>
      <c r="C51" s="31" t="n">
        <f aca="false">DATE(YEAR(MIN(Bases!$D$2:$D$1000)),6,1)</f>
        <v>45444</v>
      </c>
      <c r="D51" s="27" t="n">
        <f aca="false">COUNTIFS(Bases!$C$2:$C$1000,$C$4,Bases!$G$2:$G$1000,$C$5,Bases!$E$2:$E$1000,$C$6,Bases!$N$2:$N$1000,$C51)</f>
        <v>30</v>
      </c>
      <c r="E51" s="27" t="n">
        <f aca="false">SUMIFS(Bases!$M$2:$M$1000,Bases!$C$2:$C$1000,$C$4,Bases!$G$2:$G$1000,$C$5,Bases!$E$2:$E$1000,$C$6,Bases!$N$2:$N$1000,$C51)</f>
        <v>770</v>
      </c>
    </row>
    <row r="52" customFormat="false" ht="15" hidden="false" customHeight="false" outlineLevel="0" collapsed="false">
      <c r="B52" s="17" t="s">
        <v>67</v>
      </c>
      <c r="C52" s="31" t="n">
        <f aca="false">DATE(YEAR(MIN(Bases!$D$2:$D$1000)),7,1)</f>
        <v>45474</v>
      </c>
      <c r="D52" s="27" t="n">
        <f aca="false">COUNTIFS(Bases!$C$2:$C$1000,$C$4,Bases!$G$2:$G$1000,$C$5,Bases!$E$2:$E$1000,$C$6,Bases!$N$2:$N$1000,$C52)</f>
        <v>31</v>
      </c>
      <c r="E52" s="27" t="n">
        <f aca="false">SUMIFS(Bases!$M$2:$M$1000,Bases!$C$2:$C$1000,$C$4,Bases!$G$2:$G$1000,$C$5,Bases!$E$2:$E$1000,$C$6,Bases!$N$2:$N$1000,$C52)</f>
        <v>784</v>
      </c>
    </row>
    <row r="53" customFormat="false" ht="15" hidden="false" customHeight="false" outlineLevel="0" collapsed="false">
      <c r="B53" s="17" t="s">
        <v>68</v>
      </c>
      <c r="C53" s="31" t="n">
        <f aca="false">DATE(YEAR(MIN(Bases!$D$2:$D$1000)),8,1)</f>
        <v>45505</v>
      </c>
      <c r="D53" s="27" t="n">
        <f aca="false">COUNTIFS(Bases!$C$2:$C$1000,$C$4,Bases!$G$2:$G$1000,$C$5,Bases!$E$2:$E$1000,$C$6,Bases!$N$2:$N$1000,$C53)</f>
        <v>31</v>
      </c>
      <c r="E53" s="27" t="n">
        <f aca="false">SUMIFS(Bases!$M$2:$M$1000,Bases!$C$2:$C$1000,$C$4,Bases!$G$2:$G$1000,$C$5,Bases!$E$2:$E$1000,$C$6,Bases!$N$2:$N$1000,$C53)</f>
        <v>787</v>
      </c>
    </row>
    <row r="54" customFormat="false" ht="15" hidden="false" customHeight="false" outlineLevel="0" collapsed="false">
      <c r="B54" s="17" t="s">
        <v>69</v>
      </c>
      <c r="C54" s="31" t="n">
        <f aca="false">DATE(YEAR(MIN(Bases!$D$2:$D$1000)),9,1)</f>
        <v>45536</v>
      </c>
      <c r="D54" s="27" t="n">
        <f aca="false">COUNTIFS(Bases!$C$2:$C$1000,$C$4,Bases!$G$2:$G$1000,$C$5,Bases!$E$2:$E$1000,$C$6,Bases!$N$2:$N$1000,$C54)</f>
        <v>30</v>
      </c>
      <c r="E54" s="27" t="n">
        <f aca="false">SUMIFS(Bases!$M$2:$M$1000,Bases!$C$2:$C$1000,$C$4,Bases!$G$2:$G$1000,$C$5,Bases!$E$2:$E$1000,$C$6,Bases!$N$2:$N$1000,$C54)</f>
        <v>780</v>
      </c>
    </row>
    <row r="55" customFormat="false" ht="15" hidden="false" customHeight="false" outlineLevel="0" collapsed="false">
      <c r="B55" s="17" t="s">
        <v>70</v>
      </c>
      <c r="C55" s="31" t="n">
        <f aca="false">DATE(YEAR(MIN(Bases!$D$2:$D$1000)),10,1)</f>
        <v>45566</v>
      </c>
      <c r="D55" s="27" t="n">
        <f aca="false">COUNTIFS(Bases!$C$2:$C$1000,$C$4,Bases!$G$2:$G$1000,$C$5,Bases!$E$2:$E$1000,$C$6,Bases!$N$2:$N$1000,$C55)</f>
        <v>31</v>
      </c>
      <c r="E55" s="27" t="n">
        <f aca="false">SUMIFS(Bases!$M$2:$M$1000,Bases!$C$2:$C$1000,$C$4,Bases!$G$2:$G$1000,$C$5,Bases!$E$2:$E$1000,$C$6,Bases!$N$2:$N$1000,$C55)</f>
        <v>832</v>
      </c>
    </row>
    <row r="56" customFormat="false" ht="15" hidden="false" customHeight="false" outlineLevel="0" collapsed="false">
      <c r="B56" s="17" t="s">
        <v>71</v>
      </c>
      <c r="C56" s="31" t="n">
        <f aca="false">DATE(YEAR(MIN(Bases!$D$2:$D$1000)),11,1)</f>
        <v>45597</v>
      </c>
      <c r="D56" s="27" t="n">
        <f aca="false">COUNTIFS(Bases!$C$2:$C$1000,$C$4,Bases!$G$2:$G$1000,$C$5,Bases!$E$2:$E$1000,$C$6,Bases!$N$2:$N$1000,$C56)</f>
        <v>30</v>
      </c>
      <c r="E56" s="27" t="n">
        <f aca="false">SUMIFS(Bases!$M$2:$M$1000,Bases!$C$2:$C$1000,$C$4,Bases!$G$2:$G$1000,$C$5,Bases!$E$2:$E$1000,$C$6,Bases!$N$2:$N$1000,$C56)</f>
        <v>784</v>
      </c>
    </row>
    <row r="57" customFormat="false" ht="15" hidden="false" customHeight="false" outlineLevel="0" collapsed="false">
      <c r="B57" s="17" t="s">
        <v>72</v>
      </c>
      <c r="C57" s="31" t="n">
        <f aca="false">DATE(YEAR(MIN(Bases!$D$2:$D$1000)),12,1)</f>
        <v>45627</v>
      </c>
      <c r="D57" s="27" t="n">
        <f aca="false">COUNTIFS(Bases!$C$2:$C$1000,$C$4,Bases!$G$2:$G$1000,$C$5,Bases!$E$2:$E$1000,$C$6,Bases!$N$2:$N$1000,$C57)</f>
        <v>16</v>
      </c>
      <c r="E57" s="27" t="n">
        <f aca="false">SUMIFS(Bases!$M$2:$M$1000,Bases!$C$2:$C$1000,$C$4,Bases!$G$2:$G$1000,$C$5,Bases!$E$2:$E$1000,$C$6,Bases!$N$2:$N$1000,$C57)</f>
        <v>389</v>
      </c>
    </row>
    <row r="58" customFormat="false" ht="15" hidden="false" customHeight="false" outlineLevel="0" collapsed="false">
      <c r="B58" s="30" t="s">
        <v>45</v>
      </c>
      <c r="D58" s="21" t="n">
        <f aca="false">SUM(D46:D57)</f>
        <v>295</v>
      </c>
      <c r="E58" s="21" t="n">
        <f aca="false">SUM(E46:E57)</f>
        <v>7633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8" min="6" style="0" width="1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3" min="12" style="0" width="10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12"/>
    <col collapsed="false" customWidth="true" hidden="false" outlineLevel="0" max="17" min="17" style="0" width="14"/>
  </cols>
  <sheetData>
    <row r="1" customFormat="false" ht="42" hidden="false" customHeight="true" outlineLevel="0" collapsed="false">
      <c r="A1" s="26" t="s">
        <v>73</v>
      </c>
      <c r="B1" s="26" t="s">
        <v>74</v>
      </c>
      <c r="C1" s="26" t="s">
        <v>75</v>
      </c>
      <c r="D1" s="26" t="s">
        <v>76</v>
      </c>
      <c r="E1" s="26" t="s">
        <v>77</v>
      </c>
      <c r="F1" s="26" t="s">
        <v>78</v>
      </c>
      <c r="G1" s="26" t="s">
        <v>79</v>
      </c>
      <c r="H1" s="26" t="s">
        <v>80</v>
      </c>
      <c r="I1" s="26" t="s">
        <v>81</v>
      </c>
      <c r="J1" s="26" t="s">
        <v>82</v>
      </c>
      <c r="K1" s="26" t="s">
        <v>83</v>
      </c>
      <c r="L1" s="26" t="s">
        <v>84</v>
      </c>
      <c r="M1" s="26" t="s">
        <v>85</v>
      </c>
      <c r="N1" s="32" t="s">
        <v>86</v>
      </c>
      <c r="O1" s="32" t="s">
        <v>87</v>
      </c>
      <c r="P1" s="32" t="s">
        <v>88</v>
      </c>
      <c r="Q1" s="32" t="s">
        <v>89</v>
      </c>
    </row>
    <row r="2" customFormat="false" ht="15" hidden="false" customHeight="false" outlineLevel="0" collapsed="false">
      <c r="A2" s="17" t="n">
        <v>3231</v>
      </c>
      <c r="B2" s="17" t="s">
        <v>90</v>
      </c>
      <c r="C2" s="17" t="s">
        <v>57</v>
      </c>
      <c r="D2" s="33" t="n">
        <v>45292</v>
      </c>
      <c r="E2" s="17" t="s">
        <v>48</v>
      </c>
      <c r="F2" s="17" t="n">
        <v>15</v>
      </c>
      <c r="G2" s="17" t="s">
        <v>42</v>
      </c>
      <c r="H2" s="17" t="s">
        <v>48</v>
      </c>
      <c r="I2" s="17" t="n">
        <v>30</v>
      </c>
      <c r="J2" s="17" t="s">
        <v>48</v>
      </c>
      <c r="K2" s="17" t="n">
        <v>20</v>
      </c>
      <c r="L2" s="17" t="n">
        <v>5</v>
      </c>
      <c r="M2" s="17" t="n">
        <v>60</v>
      </c>
      <c r="N2" s="34" t="n">
        <f aca="false">IF(D2="","",DATE(YEAR(D2),MONTH(D2),1))</f>
        <v>45292</v>
      </c>
      <c r="O2" s="35" t="n">
        <f aca="false">IF(A2="","",IF(ISNUMBER(I2),I2,0))</f>
        <v>30</v>
      </c>
      <c r="P2" s="35" t="n">
        <f aca="false">IF(A2="","",F2+O2+K2)</f>
        <v>65</v>
      </c>
      <c r="Q2" s="36" t="str">
        <f aca="false">IF(A2="","",IF(P2-L2=M2,"OK","Divergente"))</f>
        <v>OK</v>
      </c>
    </row>
    <row r="3" customFormat="false" ht="15" hidden="false" customHeight="false" outlineLevel="0" collapsed="false">
      <c r="A3" s="17" t="n">
        <v>3232</v>
      </c>
      <c r="B3" s="17" t="s">
        <v>91</v>
      </c>
      <c r="C3" s="17" t="s">
        <v>55</v>
      </c>
      <c r="D3" s="33" t="n">
        <v>45306</v>
      </c>
      <c r="E3" s="17" t="s">
        <v>49</v>
      </c>
      <c r="F3" s="17" t="n">
        <v>5</v>
      </c>
      <c r="G3" s="17" t="s">
        <v>44</v>
      </c>
      <c r="H3" s="17" t="s">
        <v>49</v>
      </c>
      <c r="I3" s="17" t="s">
        <v>92</v>
      </c>
      <c r="J3" s="17" t="s">
        <v>49</v>
      </c>
      <c r="K3" s="17" t="n">
        <v>0</v>
      </c>
      <c r="L3" s="17" t="n">
        <v>0</v>
      </c>
      <c r="M3" s="17" t="n">
        <v>5</v>
      </c>
      <c r="N3" s="34" t="n">
        <f aca="false">IF(D3="","",DATE(YEAR(D3),MONTH(D3),1))</f>
        <v>45292</v>
      </c>
      <c r="O3" s="35" t="n">
        <f aca="false">IF(A3="","",IF(ISNUMBER(I3),I3,0))</f>
        <v>0</v>
      </c>
      <c r="P3" s="35" t="n">
        <f aca="false">IF(A3="","",F3+O3+K3)</f>
        <v>5</v>
      </c>
      <c r="Q3" s="36" t="str">
        <f aca="false">IF(A3="","",IF(P3-L3=M3,"OK","Divergente"))</f>
        <v>OK</v>
      </c>
    </row>
    <row r="4" customFormat="false" ht="15" hidden="false" customHeight="false" outlineLevel="0" collapsed="false">
      <c r="A4" s="17" t="n">
        <v>3233</v>
      </c>
      <c r="B4" s="17" t="s">
        <v>93</v>
      </c>
      <c r="C4" s="17" t="s">
        <v>56</v>
      </c>
      <c r="D4" s="33" t="n">
        <v>45332</v>
      </c>
      <c r="E4" s="17" t="s">
        <v>48</v>
      </c>
      <c r="F4" s="17" t="n">
        <v>10</v>
      </c>
      <c r="G4" s="17" t="s">
        <v>43</v>
      </c>
      <c r="H4" s="17" t="s">
        <v>49</v>
      </c>
      <c r="I4" s="17" t="s">
        <v>92</v>
      </c>
      <c r="J4" s="17" t="s">
        <v>48</v>
      </c>
      <c r="K4" s="17" t="n">
        <v>20</v>
      </c>
      <c r="L4" s="17" t="n">
        <v>10</v>
      </c>
      <c r="M4" s="17" t="n">
        <v>20</v>
      </c>
      <c r="N4" s="34" t="n">
        <f aca="false">IF(D4="","",DATE(YEAR(D4),MONTH(D4),1))</f>
        <v>45323</v>
      </c>
      <c r="O4" s="35" t="n">
        <f aca="false">IF(A4="","",IF(ISNUMBER(I4),I4,0))</f>
        <v>0</v>
      </c>
      <c r="P4" s="35" t="n">
        <f aca="false">IF(A4="","",F4+O4+K4)</f>
        <v>30</v>
      </c>
      <c r="Q4" s="36" t="str">
        <f aca="false">IF(A4="","",IF(P4-L4=M4,"OK","Divergente"))</f>
        <v>OK</v>
      </c>
    </row>
    <row r="5" customFormat="false" ht="15" hidden="false" customHeight="false" outlineLevel="0" collapsed="false">
      <c r="A5" s="17" t="n">
        <v>3234</v>
      </c>
      <c r="B5" s="17" t="s">
        <v>94</v>
      </c>
      <c r="C5" s="17" t="s">
        <v>57</v>
      </c>
      <c r="D5" s="33" t="n">
        <v>45342</v>
      </c>
      <c r="E5" s="17" t="s">
        <v>49</v>
      </c>
      <c r="F5" s="17" t="n">
        <v>15</v>
      </c>
      <c r="G5" s="17" t="s">
        <v>42</v>
      </c>
      <c r="H5" s="17" t="s">
        <v>48</v>
      </c>
      <c r="I5" s="17" t="n">
        <v>30</v>
      </c>
      <c r="J5" s="17" t="s">
        <v>48</v>
      </c>
      <c r="K5" s="17" t="n">
        <v>20</v>
      </c>
      <c r="L5" s="17" t="n">
        <v>3</v>
      </c>
      <c r="M5" s="17" t="n">
        <v>62</v>
      </c>
      <c r="N5" s="34" t="n">
        <f aca="false">IF(D5="","",DATE(YEAR(D5),MONTH(D5),1))</f>
        <v>45323</v>
      </c>
      <c r="O5" s="35" t="n">
        <f aca="false">IF(A5="","",IF(ISNUMBER(I5),I5,0))</f>
        <v>30</v>
      </c>
      <c r="P5" s="35" t="n">
        <f aca="false">IF(A5="","",F5+O5+K5)</f>
        <v>65</v>
      </c>
      <c r="Q5" s="36" t="str">
        <f aca="false">IF(A5="","",IF(P5-L5=M5,"OK","Divergente"))</f>
        <v>OK</v>
      </c>
    </row>
    <row r="6" customFormat="false" ht="15" hidden="false" customHeight="false" outlineLevel="0" collapsed="false">
      <c r="A6" s="17" t="n">
        <v>3235</v>
      </c>
      <c r="B6" s="17" t="s">
        <v>95</v>
      </c>
      <c r="C6" s="17" t="s">
        <v>55</v>
      </c>
      <c r="D6" s="33" t="n">
        <v>45356</v>
      </c>
      <c r="E6" s="17" t="s">
        <v>48</v>
      </c>
      <c r="F6" s="17" t="n">
        <v>5</v>
      </c>
      <c r="G6" s="17" t="s">
        <v>42</v>
      </c>
      <c r="H6" s="17" t="s">
        <v>49</v>
      </c>
      <c r="I6" s="17" t="s">
        <v>92</v>
      </c>
      <c r="J6" s="17" t="s">
        <v>49</v>
      </c>
      <c r="K6" s="17" t="n">
        <v>0</v>
      </c>
      <c r="L6" s="17" t="n">
        <v>1</v>
      </c>
      <c r="M6" s="17" t="n">
        <v>4</v>
      </c>
      <c r="N6" s="34" t="n">
        <f aca="false">IF(D6="","",DATE(YEAR(D6),MONTH(D6),1))</f>
        <v>45352</v>
      </c>
      <c r="O6" s="35" t="n">
        <f aca="false">IF(A6="","",IF(ISNUMBER(I6),I6,0))</f>
        <v>0</v>
      </c>
      <c r="P6" s="35" t="n">
        <f aca="false">IF(A6="","",F6+O6+K6)</f>
        <v>5</v>
      </c>
      <c r="Q6" s="36" t="str">
        <f aca="false">IF(A6="","",IF(P6-L6=M6,"OK","Divergente"))</f>
        <v>OK</v>
      </c>
    </row>
    <row r="7" customFormat="false" ht="15" hidden="false" customHeight="false" outlineLevel="0" collapsed="false">
      <c r="A7" s="17" t="n">
        <v>3236</v>
      </c>
      <c r="B7" s="17" t="s">
        <v>96</v>
      </c>
      <c r="C7" s="17" t="s">
        <v>56</v>
      </c>
      <c r="D7" s="33" t="n">
        <v>45353</v>
      </c>
      <c r="E7" s="17" t="s">
        <v>49</v>
      </c>
      <c r="F7" s="17" t="n">
        <v>10</v>
      </c>
      <c r="G7" s="17" t="s">
        <v>42</v>
      </c>
      <c r="H7" s="17" t="s">
        <v>49</v>
      </c>
      <c r="I7" s="17" t="s">
        <v>92</v>
      </c>
      <c r="J7" s="17" t="s">
        <v>48</v>
      </c>
      <c r="K7" s="17" t="n">
        <v>20</v>
      </c>
      <c r="L7" s="17" t="n">
        <v>2</v>
      </c>
      <c r="M7" s="17" t="n">
        <v>28</v>
      </c>
      <c r="N7" s="34" t="n">
        <f aca="false">IF(D7="","",DATE(YEAR(D7),MONTH(D7),1))</f>
        <v>45352</v>
      </c>
      <c r="O7" s="35" t="n">
        <f aca="false">IF(A7="","",IF(ISNUMBER(I7),I7,0))</f>
        <v>0</v>
      </c>
      <c r="P7" s="35" t="n">
        <f aca="false">IF(A7="","",F7+O7+K7)</f>
        <v>30</v>
      </c>
      <c r="Q7" s="36" t="str">
        <f aca="false">IF(A7="","",IF(P7-L7=M7,"OK","Divergente"))</f>
        <v>OK</v>
      </c>
    </row>
    <row r="8" customFormat="false" ht="15" hidden="false" customHeight="false" outlineLevel="0" collapsed="false">
      <c r="A8" s="17" t="n">
        <v>3237</v>
      </c>
      <c r="B8" s="17" t="s">
        <v>97</v>
      </c>
      <c r="C8" s="17" t="s">
        <v>57</v>
      </c>
      <c r="D8" s="33" t="n">
        <v>45354</v>
      </c>
      <c r="E8" s="17" t="s">
        <v>48</v>
      </c>
      <c r="F8" s="17" t="n">
        <v>15</v>
      </c>
      <c r="G8" s="17" t="s">
        <v>43</v>
      </c>
      <c r="H8" s="17" t="s">
        <v>48</v>
      </c>
      <c r="I8" s="17" t="n">
        <v>30</v>
      </c>
      <c r="J8" s="17" t="s">
        <v>48</v>
      </c>
      <c r="K8" s="17" t="n">
        <v>20</v>
      </c>
      <c r="L8" s="17" t="n">
        <v>10</v>
      </c>
      <c r="M8" s="17" t="n">
        <v>55</v>
      </c>
      <c r="N8" s="34" t="n">
        <f aca="false">IF(D8="","",DATE(YEAR(D8),MONTH(D8),1))</f>
        <v>45352</v>
      </c>
      <c r="O8" s="35" t="n">
        <f aca="false">IF(A8="","",IF(ISNUMBER(I8),I8,0))</f>
        <v>30</v>
      </c>
      <c r="P8" s="35" t="n">
        <f aca="false">IF(A8="","",F8+O8+K8)</f>
        <v>65</v>
      </c>
      <c r="Q8" s="36" t="str">
        <f aca="false">IF(A8="","",IF(P8-L8=M8,"OK","Divergente"))</f>
        <v>OK</v>
      </c>
    </row>
    <row r="9" customFormat="false" ht="15" hidden="false" customHeight="false" outlineLevel="0" collapsed="false">
      <c r="A9" s="17" t="n">
        <v>3238</v>
      </c>
      <c r="B9" s="17" t="s">
        <v>98</v>
      </c>
      <c r="C9" s="17" t="s">
        <v>55</v>
      </c>
      <c r="D9" s="33" t="n">
        <v>45355</v>
      </c>
      <c r="E9" s="17" t="s">
        <v>48</v>
      </c>
      <c r="F9" s="17" t="n">
        <v>5</v>
      </c>
      <c r="G9" s="17" t="s">
        <v>44</v>
      </c>
      <c r="H9" s="17" t="s">
        <v>49</v>
      </c>
      <c r="I9" s="17" t="s">
        <v>92</v>
      </c>
      <c r="J9" s="17" t="s">
        <v>49</v>
      </c>
      <c r="K9" s="17" t="n">
        <v>0</v>
      </c>
      <c r="L9" s="17" t="n">
        <v>0</v>
      </c>
      <c r="M9" s="17" t="n">
        <v>5</v>
      </c>
      <c r="N9" s="34" t="n">
        <f aca="false">IF(D9="","",DATE(YEAR(D9),MONTH(D9),1))</f>
        <v>45352</v>
      </c>
      <c r="O9" s="35" t="n">
        <f aca="false">IF(A9="","",IF(ISNUMBER(I9),I9,0))</f>
        <v>0</v>
      </c>
      <c r="P9" s="35" t="n">
        <f aca="false">IF(A9="","",F9+O9+K9)</f>
        <v>5</v>
      </c>
      <c r="Q9" s="36" t="str">
        <f aca="false">IF(A9="","",IF(P9-L9=M9,"OK","Divergente"))</f>
        <v>OK</v>
      </c>
    </row>
    <row r="10" customFormat="false" ht="15" hidden="false" customHeight="false" outlineLevel="0" collapsed="false">
      <c r="A10" s="17" t="n">
        <v>3239</v>
      </c>
      <c r="B10" s="17" t="s">
        <v>99</v>
      </c>
      <c r="C10" s="17" t="s">
        <v>57</v>
      </c>
      <c r="D10" s="33" t="n">
        <v>45356</v>
      </c>
      <c r="E10" s="17" t="s">
        <v>49</v>
      </c>
      <c r="F10" s="17" t="n">
        <v>15</v>
      </c>
      <c r="G10" s="17" t="s">
        <v>42</v>
      </c>
      <c r="H10" s="17" t="s">
        <v>48</v>
      </c>
      <c r="I10" s="17" t="n">
        <v>30</v>
      </c>
      <c r="J10" s="17" t="s">
        <v>48</v>
      </c>
      <c r="K10" s="17" t="n">
        <v>20</v>
      </c>
      <c r="L10" s="17" t="n">
        <v>5</v>
      </c>
      <c r="M10" s="17" t="n">
        <v>60</v>
      </c>
      <c r="N10" s="34" t="n">
        <f aca="false">IF(D10="","",DATE(YEAR(D10),MONTH(D10),1))</f>
        <v>45352</v>
      </c>
      <c r="O10" s="35" t="n">
        <f aca="false">IF(A10="","",IF(ISNUMBER(I10),I10,0))</f>
        <v>30</v>
      </c>
      <c r="P10" s="35" t="n">
        <f aca="false">IF(A10="","",F10+O10+K10)</f>
        <v>65</v>
      </c>
      <c r="Q10" s="36" t="str">
        <f aca="false">IF(A10="","",IF(P10-L10=M10,"OK","Divergente"))</f>
        <v>OK</v>
      </c>
    </row>
    <row r="11" customFormat="false" ht="15" hidden="false" customHeight="false" outlineLevel="0" collapsed="false">
      <c r="A11" s="17" t="n">
        <v>3240</v>
      </c>
      <c r="B11" s="17" t="s">
        <v>100</v>
      </c>
      <c r="C11" s="17" t="s">
        <v>56</v>
      </c>
      <c r="D11" s="33" t="n">
        <v>45357</v>
      </c>
      <c r="E11" s="17" t="s">
        <v>48</v>
      </c>
      <c r="F11" s="17" t="n">
        <v>10</v>
      </c>
      <c r="G11" s="17" t="s">
        <v>43</v>
      </c>
      <c r="H11" s="17" t="s">
        <v>49</v>
      </c>
      <c r="I11" s="17" t="s">
        <v>92</v>
      </c>
      <c r="J11" s="17" t="s">
        <v>48</v>
      </c>
      <c r="K11" s="17" t="n">
        <v>20</v>
      </c>
      <c r="L11" s="17" t="n">
        <v>15</v>
      </c>
      <c r="M11" s="17" t="n">
        <v>15</v>
      </c>
      <c r="N11" s="34" t="n">
        <f aca="false">IF(D11="","",DATE(YEAR(D11),MONTH(D11),1))</f>
        <v>45352</v>
      </c>
      <c r="O11" s="35" t="n">
        <f aca="false">IF(A11="","",IF(ISNUMBER(I11),I11,0))</f>
        <v>0</v>
      </c>
      <c r="P11" s="35" t="n">
        <f aca="false">IF(A11="","",F11+O11+K11)</f>
        <v>30</v>
      </c>
      <c r="Q11" s="36" t="str">
        <f aca="false">IF(A11="","",IF(P11-L11=M11,"OK","Divergente"))</f>
        <v>OK</v>
      </c>
    </row>
    <row r="12" customFormat="false" ht="15" hidden="false" customHeight="false" outlineLevel="0" collapsed="false">
      <c r="A12" s="17" t="n">
        <v>3241</v>
      </c>
      <c r="B12" s="17" t="s">
        <v>101</v>
      </c>
      <c r="C12" s="17" t="s">
        <v>55</v>
      </c>
      <c r="D12" s="33" t="n">
        <v>45358</v>
      </c>
      <c r="E12" s="17" t="s">
        <v>49</v>
      </c>
      <c r="F12" s="17" t="n">
        <v>5</v>
      </c>
      <c r="G12" s="17" t="s">
        <v>42</v>
      </c>
      <c r="H12" s="17" t="s">
        <v>49</v>
      </c>
      <c r="I12" s="17" t="s">
        <v>92</v>
      </c>
      <c r="J12" s="17" t="s">
        <v>49</v>
      </c>
      <c r="K12" s="17" t="n">
        <v>0</v>
      </c>
      <c r="L12" s="17" t="n">
        <v>1</v>
      </c>
      <c r="M12" s="17" t="n">
        <v>4</v>
      </c>
      <c r="N12" s="34" t="n">
        <f aca="false">IF(D12="","",DATE(YEAR(D12),MONTH(D12),1))</f>
        <v>45352</v>
      </c>
      <c r="O12" s="35" t="n">
        <f aca="false">IF(A12="","",IF(ISNUMBER(I12),I12,0))</f>
        <v>0</v>
      </c>
      <c r="P12" s="35" t="n">
        <f aca="false">IF(A12="","",F12+O12+K12)</f>
        <v>5</v>
      </c>
      <c r="Q12" s="36" t="str">
        <f aca="false">IF(A12="","",IF(P12-L12=M12,"OK","Divergente"))</f>
        <v>OK</v>
      </c>
    </row>
    <row r="13" customFormat="false" ht="15" hidden="false" customHeight="false" outlineLevel="0" collapsed="false">
      <c r="A13" s="17" t="n">
        <v>3242</v>
      </c>
      <c r="B13" s="17" t="s">
        <v>102</v>
      </c>
      <c r="C13" s="17" t="s">
        <v>57</v>
      </c>
      <c r="D13" s="33" t="n">
        <v>45359</v>
      </c>
      <c r="E13" s="17" t="s">
        <v>48</v>
      </c>
      <c r="F13" s="17" t="n">
        <v>15</v>
      </c>
      <c r="G13" s="17" t="s">
        <v>44</v>
      </c>
      <c r="H13" s="17" t="s">
        <v>48</v>
      </c>
      <c r="I13" s="17" t="n">
        <v>30</v>
      </c>
      <c r="J13" s="17" t="s">
        <v>48</v>
      </c>
      <c r="K13" s="17" t="n">
        <v>20</v>
      </c>
      <c r="L13" s="17" t="n">
        <v>20</v>
      </c>
      <c r="M13" s="17" t="n">
        <v>45</v>
      </c>
      <c r="N13" s="34" t="n">
        <f aca="false">IF(D13="","",DATE(YEAR(D13),MONTH(D13),1))</f>
        <v>45352</v>
      </c>
      <c r="O13" s="35" t="n">
        <f aca="false">IF(A13="","",IF(ISNUMBER(I13),I13,0))</f>
        <v>30</v>
      </c>
      <c r="P13" s="35" t="n">
        <f aca="false">IF(A13="","",F13+O13+K13)</f>
        <v>65</v>
      </c>
      <c r="Q13" s="36" t="str">
        <f aca="false">IF(A13="","",IF(P13-L13=M13,"OK","Divergente"))</f>
        <v>OK</v>
      </c>
    </row>
    <row r="14" customFormat="false" ht="15" hidden="false" customHeight="false" outlineLevel="0" collapsed="false">
      <c r="A14" s="17" t="n">
        <v>3243</v>
      </c>
      <c r="B14" s="17" t="s">
        <v>103</v>
      </c>
      <c r="C14" s="17" t="s">
        <v>56</v>
      </c>
      <c r="D14" s="33" t="n">
        <v>45360</v>
      </c>
      <c r="E14" s="17" t="s">
        <v>49</v>
      </c>
      <c r="F14" s="17" t="n">
        <v>10</v>
      </c>
      <c r="G14" s="17" t="s">
        <v>42</v>
      </c>
      <c r="H14" s="17" t="s">
        <v>49</v>
      </c>
      <c r="I14" s="17" t="s">
        <v>92</v>
      </c>
      <c r="J14" s="17" t="s">
        <v>48</v>
      </c>
      <c r="K14" s="17" t="n">
        <v>20</v>
      </c>
      <c r="L14" s="17" t="n">
        <v>10</v>
      </c>
      <c r="M14" s="17" t="n">
        <v>20</v>
      </c>
      <c r="N14" s="34" t="n">
        <f aca="false">IF(D14="","",DATE(YEAR(D14),MONTH(D14),1))</f>
        <v>45352</v>
      </c>
      <c r="O14" s="35" t="n">
        <f aca="false">IF(A14="","",IF(ISNUMBER(I14),I14,0))</f>
        <v>0</v>
      </c>
      <c r="P14" s="35" t="n">
        <f aca="false">IF(A14="","",F14+O14+K14)</f>
        <v>30</v>
      </c>
      <c r="Q14" s="36" t="str">
        <f aca="false">IF(A14="","",IF(P14-L14=M14,"OK","Divergente"))</f>
        <v>OK</v>
      </c>
    </row>
    <row r="15" customFormat="false" ht="15" hidden="false" customHeight="false" outlineLevel="0" collapsed="false">
      <c r="A15" s="17" t="n">
        <v>3244</v>
      </c>
      <c r="B15" s="17" t="s">
        <v>104</v>
      </c>
      <c r="C15" s="17" t="s">
        <v>55</v>
      </c>
      <c r="D15" s="33" t="n">
        <v>45361</v>
      </c>
      <c r="E15" s="17" t="s">
        <v>48</v>
      </c>
      <c r="F15" s="17" t="n">
        <v>5</v>
      </c>
      <c r="G15" s="17" t="s">
        <v>43</v>
      </c>
      <c r="H15" s="17" t="s">
        <v>49</v>
      </c>
      <c r="I15" s="17" t="s">
        <v>92</v>
      </c>
      <c r="J15" s="17" t="s">
        <v>49</v>
      </c>
      <c r="K15" s="17" t="n">
        <v>0</v>
      </c>
      <c r="L15" s="17" t="n">
        <v>0</v>
      </c>
      <c r="M15" s="17" t="n">
        <v>5</v>
      </c>
      <c r="N15" s="34" t="n">
        <f aca="false">IF(D15="","",DATE(YEAR(D15),MONTH(D15),1))</f>
        <v>45352</v>
      </c>
      <c r="O15" s="35" t="n">
        <f aca="false">IF(A15="","",IF(ISNUMBER(I15),I15,0))</f>
        <v>0</v>
      </c>
      <c r="P15" s="35" t="n">
        <f aca="false">IF(A15="","",F15+O15+K15)</f>
        <v>5</v>
      </c>
      <c r="Q15" s="36" t="str">
        <f aca="false">IF(A15="","",IF(P15-L15=M15,"OK","Divergente"))</f>
        <v>OK</v>
      </c>
    </row>
    <row r="16" customFormat="false" ht="15" hidden="false" customHeight="false" outlineLevel="0" collapsed="false">
      <c r="A16" s="17" t="n">
        <v>3245</v>
      </c>
      <c r="B16" s="17" t="s">
        <v>105</v>
      </c>
      <c r="C16" s="17" t="s">
        <v>57</v>
      </c>
      <c r="D16" s="33" t="n">
        <v>45362</v>
      </c>
      <c r="E16" s="17" t="s">
        <v>49</v>
      </c>
      <c r="F16" s="17" t="n">
        <v>15</v>
      </c>
      <c r="G16" s="17" t="s">
        <v>42</v>
      </c>
      <c r="H16" s="17" t="s">
        <v>48</v>
      </c>
      <c r="I16" s="17" t="n">
        <v>30</v>
      </c>
      <c r="J16" s="17" t="s">
        <v>48</v>
      </c>
      <c r="K16" s="17" t="n">
        <v>20</v>
      </c>
      <c r="L16" s="17" t="n">
        <v>8</v>
      </c>
      <c r="M16" s="17" t="n">
        <v>57</v>
      </c>
      <c r="N16" s="34" t="n">
        <f aca="false">IF(D16="","",DATE(YEAR(D16),MONTH(D16),1))</f>
        <v>45352</v>
      </c>
      <c r="O16" s="35" t="n">
        <f aca="false">IF(A16="","",IF(ISNUMBER(I16),I16,0))</f>
        <v>30</v>
      </c>
      <c r="P16" s="35" t="n">
        <f aca="false">IF(A16="","",F16+O16+K16)</f>
        <v>65</v>
      </c>
      <c r="Q16" s="36" t="str">
        <f aca="false">IF(A16="","",IF(P16-L16=M16,"OK","Divergente"))</f>
        <v>OK</v>
      </c>
    </row>
    <row r="17" customFormat="false" ht="15" hidden="false" customHeight="false" outlineLevel="0" collapsed="false">
      <c r="A17" s="17" t="n">
        <v>3246</v>
      </c>
      <c r="B17" s="17" t="s">
        <v>106</v>
      </c>
      <c r="C17" s="17" t="s">
        <v>56</v>
      </c>
      <c r="D17" s="33" t="n">
        <v>45363</v>
      </c>
      <c r="E17" s="17" t="s">
        <v>48</v>
      </c>
      <c r="F17" s="17" t="n">
        <v>10</v>
      </c>
      <c r="G17" s="17" t="s">
        <v>44</v>
      </c>
      <c r="H17" s="17" t="s">
        <v>49</v>
      </c>
      <c r="I17" s="17" t="s">
        <v>92</v>
      </c>
      <c r="J17" s="17" t="s">
        <v>48</v>
      </c>
      <c r="K17" s="17" t="n">
        <v>20</v>
      </c>
      <c r="L17" s="17" t="n">
        <v>12</v>
      </c>
      <c r="M17" s="17" t="n">
        <v>18</v>
      </c>
      <c r="N17" s="34" t="n">
        <f aca="false">IF(D17="","",DATE(YEAR(D17),MONTH(D17),1))</f>
        <v>45352</v>
      </c>
      <c r="O17" s="35" t="n">
        <f aca="false">IF(A17="","",IF(ISNUMBER(I17),I17,0))</f>
        <v>0</v>
      </c>
      <c r="P17" s="35" t="n">
        <f aca="false">IF(A17="","",F17+O17+K17)</f>
        <v>30</v>
      </c>
      <c r="Q17" s="36" t="str">
        <f aca="false">IF(A17="","",IF(P17-L17=M17,"OK","Divergente"))</f>
        <v>OK</v>
      </c>
    </row>
    <row r="18" customFormat="false" ht="15" hidden="false" customHeight="false" outlineLevel="0" collapsed="false">
      <c r="A18" s="17" t="n">
        <v>3247</v>
      </c>
      <c r="B18" s="17" t="s">
        <v>107</v>
      </c>
      <c r="C18" s="17" t="s">
        <v>55</v>
      </c>
      <c r="D18" s="33" t="n">
        <v>45364</v>
      </c>
      <c r="E18" s="17" t="s">
        <v>49</v>
      </c>
      <c r="F18" s="17" t="n">
        <v>5</v>
      </c>
      <c r="G18" s="17" t="s">
        <v>42</v>
      </c>
      <c r="H18" s="17" t="s">
        <v>49</v>
      </c>
      <c r="I18" s="17" t="s">
        <v>92</v>
      </c>
      <c r="J18" s="17" t="s">
        <v>49</v>
      </c>
      <c r="K18" s="17" t="n">
        <v>0</v>
      </c>
      <c r="L18" s="17" t="n">
        <v>2</v>
      </c>
      <c r="M18" s="17" t="n">
        <v>3</v>
      </c>
      <c r="N18" s="34" t="n">
        <f aca="false">IF(D18="","",DATE(YEAR(D18),MONTH(D18),1))</f>
        <v>45352</v>
      </c>
      <c r="O18" s="35" t="n">
        <f aca="false">IF(A18="","",IF(ISNUMBER(I18),I18,0))</f>
        <v>0</v>
      </c>
      <c r="P18" s="35" t="n">
        <f aca="false">IF(A18="","",F18+O18+K18)</f>
        <v>5</v>
      </c>
      <c r="Q18" s="36" t="str">
        <f aca="false">IF(A18="","",IF(P18-L18=M18,"OK","Divergente"))</f>
        <v>OK</v>
      </c>
    </row>
    <row r="19" customFormat="false" ht="15" hidden="false" customHeight="false" outlineLevel="0" collapsed="false">
      <c r="A19" s="17" t="n">
        <v>3248</v>
      </c>
      <c r="B19" s="17" t="s">
        <v>108</v>
      </c>
      <c r="C19" s="17" t="s">
        <v>57</v>
      </c>
      <c r="D19" s="33" t="n">
        <v>45365</v>
      </c>
      <c r="E19" s="17" t="s">
        <v>48</v>
      </c>
      <c r="F19" s="17" t="n">
        <v>15</v>
      </c>
      <c r="G19" s="17" t="s">
        <v>43</v>
      </c>
      <c r="H19" s="17" t="s">
        <v>48</v>
      </c>
      <c r="I19" s="17" t="n">
        <v>30</v>
      </c>
      <c r="J19" s="17" t="s">
        <v>48</v>
      </c>
      <c r="K19" s="17" t="n">
        <v>20</v>
      </c>
      <c r="L19" s="17" t="n">
        <v>7</v>
      </c>
      <c r="M19" s="17" t="n">
        <v>58</v>
      </c>
      <c r="N19" s="34" t="n">
        <f aca="false">IF(D19="","",DATE(YEAR(D19),MONTH(D19),1))</f>
        <v>45352</v>
      </c>
      <c r="O19" s="35" t="n">
        <f aca="false">IF(A19="","",IF(ISNUMBER(I19),I19,0))</f>
        <v>30</v>
      </c>
      <c r="P19" s="35" t="n">
        <f aca="false">IF(A19="","",F19+O19+K19)</f>
        <v>65</v>
      </c>
      <c r="Q19" s="36" t="str">
        <f aca="false">IF(A19="","",IF(P19-L19=M19,"OK","Divergente"))</f>
        <v>OK</v>
      </c>
    </row>
    <row r="20" customFormat="false" ht="15" hidden="false" customHeight="false" outlineLevel="0" collapsed="false">
      <c r="A20" s="17" t="n">
        <v>3249</v>
      </c>
      <c r="B20" s="17" t="s">
        <v>109</v>
      </c>
      <c r="C20" s="17" t="s">
        <v>56</v>
      </c>
      <c r="D20" s="33" t="n">
        <v>45366</v>
      </c>
      <c r="E20" s="17" t="s">
        <v>49</v>
      </c>
      <c r="F20" s="17" t="n">
        <v>10</v>
      </c>
      <c r="G20" s="17" t="s">
        <v>42</v>
      </c>
      <c r="H20" s="17" t="s">
        <v>49</v>
      </c>
      <c r="I20" s="17" t="s">
        <v>92</v>
      </c>
      <c r="J20" s="17" t="s">
        <v>48</v>
      </c>
      <c r="K20" s="17" t="n">
        <v>20</v>
      </c>
      <c r="L20" s="17" t="n">
        <v>5</v>
      </c>
      <c r="M20" s="17" t="n">
        <v>25</v>
      </c>
      <c r="N20" s="34" t="n">
        <f aca="false">IF(D20="","",DATE(YEAR(D20),MONTH(D20),1))</f>
        <v>45352</v>
      </c>
      <c r="O20" s="35" t="n">
        <f aca="false">IF(A20="","",IF(ISNUMBER(I20),I20,0))</f>
        <v>0</v>
      </c>
      <c r="P20" s="35" t="n">
        <f aca="false">IF(A20="","",F20+O20+K20)</f>
        <v>30</v>
      </c>
      <c r="Q20" s="36" t="str">
        <f aca="false">IF(A20="","",IF(P20-L20=M20,"OK","Divergente"))</f>
        <v>OK</v>
      </c>
    </row>
    <row r="21" customFormat="false" ht="15" hidden="false" customHeight="false" outlineLevel="0" collapsed="false">
      <c r="A21" s="17" t="n">
        <v>3250</v>
      </c>
      <c r="B21" s="17" t="s">
        <v>110</v>
      </c>
      <c r="C21" s="17" t="s">
        <v>55</v>
      </c>
      <c r="D21" s="33" t="n">
        <v>45367</v>
      </c>
      <c r="E21" s="17" t="s">
        <v>48</v>
      </c>
      <c r="F21" s="17" t="n">
        <v>5</v>
      </c>
      <c r="G21" s="17" t="s">
        <v>44</v>
      </c>
      <c r="H21" s="17" t="s">
        <v>49</v>
      </c>
      <c r="I21" s="17" t="s">
        <v>92</v>
      </c>
      <c r="J21" s="17" t="s">
        <v>49</v>
      </c>
      <c r="K21" s="17" t="n">
        <v>0</v>
      </c>
      <c r="L21" s="17" t="n">
        <v>0</v>
      </c>
      <c r="M21" s="17" t="n">
        <v>5</v>
      </c>
      <c r="N21" s="34" t="n">
        <f aca="false">IF(D21="","",DATE(YEAR(D21),MONTH(D21),1))</f>
        <v>45352</v>
      </c>
      <c r="O21" s="35" t="n">
        <f aca="false">IF(A21="","",IF(ISNUMBER(I21),I21,0))</f>
        <v>0</v>
      </c>
      <c r="P21" s="35" t="n">
        <f aca="false">IF(A21="","",F21+O21+K21)</f>
        <v>5</v>
      </c>
      <c r="Q21" s="36" t="str">
        <f aca="false">IF(A21="","",IF(P21-L21=M21,"OK","Divergente"))</f>
        <v>OK</v>
      </c>
    </row>
    <row r="22" customFormat="false" ht="15" hidden="false" customHeight="false" outlineLevel="0" collapsed="false">
      <c r="A22" s="17" t="n">
        <v>3251</v>
      </c>
      <c r="B22" s="17" t="s">
        <v>111</v>
      </c>
      <c r="C22" s="17" t="s">
        <v>57</v>
      </c>
      <c r="D22" s="33" t="n">
        <v>45368</v>
      </c>
      <c r="E22" s="17" t="s">
        <v>49</v>
      </c>
      <c r="F22" s="17" t="n">
        <v>15</v>
      </c>
      <c r="G22" s="17" t="s">
        <v>42</v>
      </c>
      <c r="H22" s="17" t="s">
        <v>48</v>
      </c>
      <c r="I22" s="17" t="n">
        <v>30</v>
      </c>
      <c r="J22" s="17" t="s">
        <v>48</v>
      </c>
      <c r="K22" s="17" t="n">
        <v>20</v>
      </c>
      <c r="L22" s="17" t="n">
        <v>3</v>
      </c>
      <c r="M22" s="17" t="n">
        <v>62</v>
      </c>
      <c r="N22" s="34" t="n">
        <f aca="false">IF(D22="","",DATE(YEAR(D22),MONTH(D22),1))</f>
        <v>45352</v>
      </c>
      <c r="O22" s="35" t="n">
        <f aca="false">IF(A22="","",IF(ISNUMBER(I22),I22,0))</f>
        <v>30</v>
      </c>
      <c r="P22" s="35" t="n">
        <f aca="false">IF(A22="","",F22+O22+K22)</f>
        <v>65</v>
      </c>
      <c r="Q22" s="36" t="str">
        <f aca="false">IF(A22="","",IF(P22-L22=M22,"OK","Divergente"))</f>
        <v>OK</v>
      </c>
    </row>
    <row r="23" customFormat="false" ht="15" hidden="false" customHeight="false" outlineLevel="0" collapsed="false">
      <c r="A23" s="17" t="n">
        <v>3252</v>
      </c>
      <c r="B23" s="17" t="s">
        <v>112</v>
      </c>
      <c r="C23" s="17" t="s">
        <v>56</v>
      </c>
      <c r="D23" s="33" t="n">
        <v>45369</v>
      </c>
      <c r="E23" s="17" t="s">
        <v>48</v>
      </c>
      <c r="F23" s="17" t="n">
        <v>10</v>
      </c>
      <c r="G23" s="17" t="s">
        <v>43</v>
      </c>
      <c r="H23" s="17" t="s">
        <v>49</v>
      </c>
      <c r="I23" s="17" t="s">
        <v>92</v>
      </c>
      <c r="J23" s="17" t="s">
        <v>48</v>
      </c>
      <c r="K23" s="17" t="n">
        <v>20</v>
      </c>
      <c r="L23" s="17" t="n">
        <v>15</v>
      </c>
      <c r="M23" s="17" t="n">
        <v>15</v>
      </c>
      <c r="N23" s="34" t="n">
        <f aca="false">IF(D23="","",DATE(YEAR(D23),MONTH(D23),1))</f>
        <v>45352</v>
      </c>
      <c r="O23" s="35" t="n">
        <f aca="false">IF(A23="","",IF(ISNUMBER(I23),I23,0))</f>
        <v>0</v>
      </c>
      <c r="P23" s="35" t="n">
        <f aca="false">IF(A23="","",F23+O23+K23)</f>
        <v>30</v>
      </c>
      <c r="Q23" s="36" t="str">
        <f aca="false">IF(A23="","",IF(P23-L23=M23,"OK","Divergente"))</f>
        <v>OK</v>
      </c>
    </row>
    <row r="24" customFormat="false" ht="15" hidden="false" customHeight="false" outlineLevel="0" collapsed="false">
      <c r="A24" s="17" t="n">
        <v>3253</v>
      </c>
      <c r="B24" s="17" t="s">
        <v>113</v>
      </c>
      <c r="C24" s="17" t="s">
        <v>55</v>
      </c>
      <c r="D24" s="33" t="n">
        <v>45370</v>
      </c>
      <c r="E24" s="17" t="s">
        <v>49</v>
      </c>
      <c r="F24" s="17" t="n">
        <v>5</v>
      </c>
      <c r="G24" s="17" t="s">
        <v>42</v>
      </c>
      <c r="H24" s="17" t="s">
        <v>49</v>
      </c>
      <c r="I24" s="17" t="s">
        <v>92</v>
      </c>
      <c r="J24" s="17" t="s">
        <v>49</v>
      </c>
      <c r="K24" s="17" t="n">
        <v>0</v>
      </c>
      <c r="L24" s="17" t="n">
        <v>1</v>
      </c>
      <c r="M24" s="17" t="n">
        <v>4</v>
      </c>
      <c r="N24" s="34" t="n">
        <f aca="false">IF(D24="","",DATE(YEAR(D24),MONTH(D24),1))</f>
        <v>45352</v>
      </c>
      <c r="O24" s="35" t="n">
        <f aca="false">IF(A24="","",IF(ISNUMBER(I24),I24,0))</f>
        <v>0</v>
      </c>
      <c r="P24" s="35" t="n">
        <f aca="false">IF(A24="","",F24+O24+K24)</f>
        <v>5</v>
      </c>
      <c r="Q24" s="36" t="str">
        <f aca="false">IF(A24="","",IF(P24-L24=M24,"OK","Divergente"))</f>
        <v>OK</v>
      </c>
    </row>
    <row r="25" customFormat="false" ht="15" hidden="false" customHeight="false" outlineLevel="0" collapsed="false">
      <c r="A25" s="17" t="n">
        <v>3254</v>
      </c>
      <c r="B25" s="17" t="s">
        <v>114</v>
      </c>
      <c r="C25" s="17" t="s">
        <v>57</v>
      </c>
      <c r="D25" s="33" t="n">
        <v>45371</v>
      </c>
      <c r="E25" s="17" t="s">
        <v>48</v>
      </c>
      <c r="F25" s="17" t="n">
        <v>15</v>
      </c>
      <c r="G25" s="17" t="s">
        <v>44</v>
      </c>
      <c r="H25" s="17" t="s">
        <v>48</v>
      </c>
      <c r="I25" s="17" t="n">
        <v>30</v>
      </c>
      <c r="J25" s="17" t="s">
        <v>48</v>
      </c>
      <c r="K25" s="17" t="n">
        <v>20</v>
      </c>
      <c r="L25" s="17" t="n">
        <v>20</v>
      </c>
      <c r="M25" s="17" t="n">
        <v>45</v>
      </c>
      <c r="N25" s="34" t="n">
        <f aca="false">IF(D25="","",DATE(YEAR(D25),MONTH(D25),1))</f>
        <v>45352</v>
      </c>
      <c r="O25" s="35" t="n">
        <f aca="false">IF(A25="","",IF(ISNUMBER(I25),I25,0))</f>
        <v>30</v>
      </c>
      <c r="P25" s="35" t="n">
        <f aca="false">IF(A25="","",F25+O25+K25)</f>
        <v>65</v>
      </c>
      <c r="Q25" s="36" t="str">
        <f aca="false">IF(A25="","",IF(P25-L25=M25,"OK","Divergente"))</f>
        <v>OK</v>
      </c>
    </row>
    <row r="26" customFormat="false" ht="15" hidden="false" customHeight="false" outlineLevel="0" collapsed="false">
      <c r="A26" s="17" t="n">
        <v>3255</v>
      </c>
      <c r="B26" s="17" t="s">
        <v>115</v>
      </c>
      <c r="C26" s="17" t="s">
        <v>56</v>
      </c>
      <c r="D26" s="33" t="n">
        <v>45372</v>
      </c>
      <c r="E26" s="17" t="s">
        <v>49</v>
      </c>
      <c r="F26" s="17" t="n">
        <v>10</v>
      </c>
      <c r="G26" s="17" t="s">
        <v>42</v>
      </c>
      <c r="H26" s="17" t="s">
        <v>49</v>
      </c>
      <c r="I26" s="17" t="s">
        <v>92</v>
      </c>
      <c r="J26" s="17" t="s">
        <v>48</v>
      </c>
      <c r="K26" s="17" t="n">
        <v>20</v>
      </c>
      <c r="L26" s="17" t="n">
        <v>10</v>
      </c>
      <c r="M26" s="17" t="n">
        <v>20</v>
      </c>
      <c r="N26" s="34" t="n">
        <f aca="false">IF(D26="","",DATE(YEAR(D26),MONTH(D26),1))</f>
        <v>45352</v>
      </c>
      <c r="O26" s="35" t="n">
        <f aca="false">IF(A26="","",IF(ISNUMBER(I26),I26,0))</f>
        <v>0</v>
      </c>
      <c r="P26" s="35" t="n">
        <f aca="false">IF(A26="","",F26+O26+K26)</f>
        <v>30</v>
      </c>
      <c r="Q26" s="36" t="str">
        <f aca="false">IF(A26="","",IF(P26-L26=M26,"OK","Divergente"))</f>
        <v>OK</v>
      </c>
    </row>
    <row r="27" customFormat="false" ht="15" hidden="false" customHeight="false" outlineLevel="0" collapsed="false">
      <c r="A27" s="17" t="n">
        <v>3256</v>
      </c>
      <c r="B27" s="17" t="s">
        <v>116</v>
      </c>
      <c r="C27" s="17" t="s">
        <v>55</v>
      </c>
      <c r="D27" s="33" t="n">
        <v>45373</v>
      </c>
      <c r="E27" s="17" t="s">
        <v>48</v>
      </c>
      <c r="F27" s="17" t="n">
        <v>5</v>
      </c>
      <c r="G27" s="17" t="s">
        <v>43</v>
      </c>
      <c r="H27" s="17" t="s">
        <v>49</v>
      </c>
      <c r="I27" s="17" t="s">
        <v>92</v>
      </c>
      <c r="J27" s="17" t="s">
        <v>49</v>
      </c>
      <c r="K27" s="17" t="n">
        <v>0</v>
      </c>
      <c r="L27" s="17" t="n">
        <v>0</v>
      </c>
      <c r="M27" s="17" t="n">
        <v>5</v>
      </c>
      <c r="N27" s="34" t="n">
        <f aca="false">IF(D27="","",DATE(YEAR(D27),MONTH(D27),1))</f>
        <v>45352</v>
      </c>
      <c r="O27" s="35" t="n">
        <f aca="false">IF(A27="","",IF(ISNUMBER(I27),I27,0))</f>
        <v>0</v>
      </c>
      <c r="P27" s="35" t="n">
        <f aca="false">IF(A27="","",F27+O27+K27)</f>
        <v>5</v>
      </c>
      <c r="Q27" s="36" t="str">
        <f aca="false">IF(A27="","",IF(P27-L27=M27,"OK","Divergente"))</f>
        <v>OK</v>
      </c>
    </row>
    <row r="28" customFormat="false" ht="15" hidden="false" customHeight="false" outlineLevel="0" collapsed="false">
      <c r="A28" s="17" t="n">
        <v>3257</v>
      </c>
      <c r="B28" s="17" t="s">
        <v>117</v>
      </c>
      <c r="C28" s="17" t="s">
        <v>57</v>
      </c>
      <c r="D28" s="33" t="n">
        <v>45374</v>
      </c>
      <c r="E28" s="17" t="s">
        <v>49</v>
      </c>
      <c r="F28" s="17" t="n">
        <v>15</v>
      </c>
      <c r="G28" s="17" t="s">
        <v>42</v>
      </c>
      <c r="H28" s="17" t="s">
        <v>48</v>
      </c>
      <c r="I28" s="17" t="n">
        <v>30</v>
      </c>
      <c r="J28" s="17" t="s">
        <v>48</v>
      </c>
      <c r="K28" s="17" t="n">
        <v>20</v>
      </c>
      <c r="L28" s="17" t="n">
        <v>5</v>
      </c>
      <c r="M28" s="17" t="n">
        <v>60</v>
      </c>
      <c r="N28" s="34" t="n">
        <f aca="false">IF(D28="","",DATE(YEAR(D28),MONTH(D28),1))</f>
        <v>45352</v>
      </c>
      <c r="O28" s="35" t="n">
        <f aca="false">IF(A28="","",IF(ISNUMBER(I28),I28,0))</f>
        <v>30</v>
      </c>
      <c r="P28" s="35" t="n">
        <f aca="false">IF(A28="","",F28+O28+K28)</f>
        <v>65</v>
      </c>
      <c r="Q28" s="36" t="str">
        <f aca="false">IF(A28="","",IF(P28-L28=M28,"OK","Divergente"))</f>
        <v>OK</v>
      </c>
    </row>
    <row r="29" customFormat="false" ht="15" hidden="false" customHeight="false" outlineLevel="0" collapsed="false">
      <c r="A29" s="17" t="n">
        <v>3258</v>
      </c>
      <c r="B29" s="17" t="s">
        <v>118</v>
      </c>
      <c r="C29" s="17" t="s">
        <v>56</v>
      </c>
      <c r="D29" s="33" t="n">
        <v>45375</v>
      </c>
      <c r="E29" s="17" t="s">
        <v>48</v>
      </c>
      <c r="F29" s="17" t="n">
        <v>10</v>
      </c>
      <c r="G29" s="17" t="s">
        <v>44</v>
      </c>
      <c r="H29" s="17" t="s">
        <v>49</v>
      </c>
      <c r="I29" s="17" t="s">
        <v>92</v>
      </c>
      <c r="J29" s="17" t="s">
        <v>48</v>
      </c>
      <c r="K29" s="17" t="n">
        <v>20</v>
      </c>
      <c r="L29" s="17" t="n">
        <v>15</v>
      </c>
      <c r="M29" s="17" t="n">
        <v>15</v>
      </c>
      <c r="N29" s="34" t="n">
        <f aca="false">IF(D29="","",DATE(YEAR(D29),MONTH(D29),1))</f>
        <v>45352</v>
      </c>
      <c r="O29" s="35" t="n">
        <f aca="false">IF(A29="","",IF(ISNUMBER(I29),I29,0))</f>
        <v>0</v>
      </c>
      <c r="P29" s="35" t="n">
        <f aca="false">IF(A29="","",F29+O29+K29)</f>
        <v>30</v>
      </c>
      <c r="Q29" s="36" t="str">
        <f aca="false">IF(A29="","",IF(P29-L29=M29,"OK","Divergente"))</f>
        <v>OK</v>
      </c>
    </row>
    <row r="30" customFormat="false" ht="15" hidden="false" customHeight="false" outlineLevel="0" collapsed="false">
      <c r="A30" s="17" t="n">
        <v>3259</v>
      </c>
      <c r="B30" s="17" t="s">
        <v>119</v>
      </c>
      <c r="C30" s="17" t="s">
        <v>55</v>
      </c>
      <c r="D30" s="33" t="n">
        <v>45376</v>
      </c>
      <c r="E30" s="17" t="s">
        <v>49</v>
      </c>
      <c r="F30" s="17" t="n">
        <v>5</v>
      </c>
      <c r="G30" s="17" t="s">
        <v>42</v>
      </c>
      <c r="H30" s="17" t="s">
        <v>49</v>
      </c>
      <c r="I30" s="17" t="s">
        <v>92</v>
      </c>
      <c r="J30" s="17" t="s">
        <v>49</v>
      </c>
      <c r="K30" s="17" t="n">
        <v>0</v>
      </c>
      <c r="L30" s="17" t="n">
        <v>1</v>
      </c>
      <c r="M30" s="17" t="n">
        <v>4</v>
      </c>
      <c r="N30" s="34" t="n">
        <f aca="false">IF(D30="","",DATE(YEAR(D30),MONTH(D30),1))</f>
        <v>45352</v>
      </c>
      <c r="O30" s="35" t="n">
        <f aca="false">IF(A30="","",IF(ISNUMBER(I30),I30,0))</f>
        <v>0</v>
      </c>
      <c r="P30" s="35" t="n">
        <f aca="false">IF(A30="","",F30+O30+K30)</f>
        <v>5</v>
      </c>
      <c r="Q30" s="36" t="str">
        <f aca="false">IF(A30="","",IF(P30-L30=M30,"OK","Divergente"))</f>
        <v>OK</v>
      </c>
    </row>
    <row r="31" customFormat="false" ht="15" hidden="false" customHeight="false" outlineLevel="0" collapsed="false">
      <c r="A31" s="17" t="n">
        <v>3260</v>
      </c>
      <c r="B31" s="17" t="s">
        <v>120</v>
      </c>
      <c r="C31" s="17" t="s">
        <v>57</v>
      </c>
      <c r="D31" s="33" t="n">
        <v>45377</v>
      </c>
      <c r="E31" s="17" t="s">
        <v>48</v>
      </c>
      <c r="F31" s="17" t="n">
        <v>15</v>
      </c>
      <c r="G31" s="17" t="s">
        <v>43</v>
      </c>
      <c r="H31" s="17" t="s">
        <v>48</v>
      </c>
      <c r="I31" s="17" t="n">
        <v>30</v>
      </c>
      <c r="J31" s="17" t="s">
        <v>48</v>
      </c>
      <c r="K31" s="17" t="n">
        <v>20</v>
      </c>
      <c r="L31" s="17" t="n">
        <v>7</v>
      </c>
      <c r="M31" s="17" t="n">
        <v>58</v>
      </c>
      <c r="N31" s="34" t="n">
        <f aca="false">IF(D31="","",DATE(YEAR(D31),MONTH(D31),1))</f>
        <v>45352</v>
      </c>
      <c r="O31" s="35" t="n">
        <f aca="false">IF(A31="","",IF(ISNUMBER(I31),I31,0))</f>
        <v>30</v>
      </c>
      <c r="P31" s="35" t="n">
        <f aca="false">IF(A31="","",F31+O31+K31)</f>
        <v>65</v>
      </c>
      <c r="Q31" s="36" t="str">
        <f aca="false">IF(A31="","",IF(P31-L31=M31,"OK","Divergente"))</f>
        <v>OK</v>
      </c>
    </row>
    <row r="32" customFormat="false" ht="15" hidden="false" customHeight="false" outlineLevel="0" collapsed="false">
      <c r="A32" s="17" t="n">
        <v>3261</v>
      </c>
      <c r="B32" s="17" t="s">
        <v>121</v>
      </c>
      <c r="C32" s="17" t="s">
        <v>56</v>
      </c>
      <c r="D32" s="33" t="n">
        <v>45378</v>
      </c>
      <c r="E32" s="17" t="s">
        <v>49</v>
      </c>
      <c r="F32" s="17" t="n">
        <v>10</v>
      </c>
      <c r="G32" s="17" t="s">
        <v>42</v>
      </c>
      <c r="H32" s="17" t="s">
        <v>49</v>
      </c>
      <c r="I32" s="17" t="s">
        <v>92</v>
      </c>
      <c r="J32" s="17" t="s">
        <v>48</v>
      </c>
      <c r="K32" s="17" t="n">
        <v>20</v>
      </c>
      <c r="L32" s="17" t="n">
        <v>10</v>
      </c>
      <c r="M32" s="17" t="n">
        <v>20</v>
      </c>
      <c r="N32" s="34" t="n">
        <f aca="false">IF(D32="","",DATE(YEAR(D32),MONTH(D32),1))</f>
        <v>45352</v>
      </c>
      <c r="O32" s="35" t="n">
        <f aca="false">IF(A32="","",IF(ISNUMBER(I32),I32,0))</f>
        <v>0</v>
      </c>
      <c r="P32" s="35" t="n">
        <f aca="false">IF(A32="","",F32+O32+K32)</f>
        <v>30</v>
      </c>
      <c r="Q32" s="36" t="str">
        <f aca="false">IF(A32="","",IF(P32-L32=M32,"OK","Divergente"))</f>
        <v>OK</v>
      </c>
    </row>
    <row r="33" customFormat="false" ht="15" hidden="false" customHeight="false" outlineLevel="0" collapsed="false">
      <c r="A33" s="17" t="n">
        <v>3262</v>
      </c>
      <c r="B33" s="17" t="s">
        <v>122</v>
      </c>
      <c r="C33" s="17" t="s">
        <v>55</v>
      </c>
      <c r="D33" s="33" t="n">
        <v>45379</v>
      </c>
      <c r="E33" s="17" t="s">
        <v>48</v>
      </c>
      <c r="F33" s="17" t="n">
        <v>5</v>
      </c>
      <c r="G33" s="17" t="s">
        <v>44</v>
      </c>
      <c r="H33" s="17" t="s">
        <v>49</v>
      </c>
      <c r="I33" s="17" t="s">
        <v>92</v>
      </c>
      <c r="J33" s="17" t="s">
        <v>49</v>
      </c>
      <c r="K33" s="17" t="n">
        <v>0</v>
      </c>
      <c r="L33" s="17" t="n">
        <v>0</v>
      </c>
      <c r="M33" s="17" t="n">
        <v>5</v>
      </c>
      <c r="N33" s="34" t="n">
        <f aca="false">IF(D33="","",DATE(YEAR(D33),MONTH(D33),1))</f>
        <v>45352</v>
      </c>
      <c r="O33" s="35" t="n">
        <f aca="false">IF(A33="","",IF(ISNUMBER(I33),I33,0))</f>
        <v>0</v>
      </c>
      <c r="P33" s="35" t="n">
        <f aca="false">IF(A33="","",F33+O33+K33)</f>
        <v>5</v>
      </c>
      <c r="Q33" s="36" t="str">
        <f aca="false">IF(A33="","",IF(P33-L33=M33,"OK","Divergente"))</f>
        <v>OK</v>
      </c>
    </row>
    <row r="34" customFormat="false" ht="15" hidden="false" customHeight="false" outlineLevel="0" collapsed="false">
      <c r="A34" s="17" t="n">
        <v>3263</v>
      </c>
      <c r="B34" s="17" t="s">
        <v>123</v>
      </c>
      <c r="C34" s="17" t="s">
        <v>57</v>
      </c>
      <c r="D34" s="33" t="n">
        <v>45380</v>
      </c>
      <c r="E34" s="17" t="s">
        <v>49</v>
      </c>
      <c r="F34" s="17" t="n">
        <v>15</v>
      </c>
      <c r="G34" s="17" t="s">
        <v>42</v>
      </c>
      <c r="H34" s="17" t="s">
        <v>48</v>
      </c>
      <c r="I34" s="17" t="n">
        <v>30</v>
      </c>
      <c r="J34" s="17" t="s">
        <v>48</v>
      </c>
      <c r="K34" s="17" t="n">
        <v>20</v>
      </c>
      <c r="L34" s="17" t="n">
        <v>3</v>
      </c>
      <c r="M34" s="17" t="n">
        <v>62</v>
      </c>
      <c r="N34" s="34" t="n">
        <f aca="false">IF(D34="","",DATE(YEAR(D34),MONTH(D34),1))</f>
        <v>45352</v>
      </c>
      <c r="O34" s="35" t="n">
        <f aca="false">IF(A34="","",IF(ISNUMBER(I34),I34,0))</f>
        <v>30</v>
      </c>
      <c r="P34" s="35" t="n">
        <f aca="false">IF(A34="","",F34+O34+K34)</f>
        <v>65</v>
      </c>
      <c r="Q34" s="36" t="str">
        <f aca="false">IF(A34="","",IF(P34-L34=M34,"OK","Divergente"))</f>
        <v>OK</v>
      </c>
    </row>
    <row r="35" customFormat="false" ht="15" hidden="false" customHeight="false" outlineLevel="0" collapsed="false">
      <c r="A35" s="17" t="n">
        <v>3264</v>
      </c>
      <c r="B35" s="17" t="s">
        <v>124</v>
      </c>
      <c r="C35" s="17" t="s">
        <v>56</v>
      </c>
      <c r="D35" s="33" t="n">
        <v>45381</v>
      </c>
      <c r="E35" s="17" t="s">
        <v>48</v>
      </c>
      <c r="F35" s="17" t="n">
        <v>10</v>
      </c>
      <c r="G35" s="17" t="s">
        <v>43</v>
      </c>
      <c r="H35" s="17" t="s">
        <v>49</v>
      </c>
      <c r="I35" s="17" t="s">
        <v>92</v>
      </c>
      <c r="J35" s="17" t="s">
        <v>48</v>
      </c>
      <c r="K35" s="17" t="n">
        <v>20</v>
      </c>
      <c r="L35" s="17" t="n">
        <v>15</v>
      </c>
      <c r="M35" s="17" t="n">
        <v>15</v>
      </c>
      <c r="N35" s="34" t="n">
        <f aca="false">IF(D35="","",DATE(YEAR(D35),MONTH(D35),1))</f>
        <v>45352</v>
      </c>
      <c r="O35" s="35" t="n">
        <f aca="false">IF(A35="","",IF(ISNUMBER(I35),I35,0))</f>
        <v>0</v>
      </c>
      <c r="P35" s="35" t="n">
        <f aca="false">IF(A35="","",F35+O35+K35)</f>
        <v>30</v>
      </c>
      <c r="Q35" s="36" t="str">
        <f aca="false">IF(A35="","",IF(P35-L35=M35,"OK","Divergente"))</f>
        <v>OK</v>
      </c>
    </row>
    <row r="36" customFormat="false" ht="15" hidden="false" customHeight="false" outlineLevel="0" collapsed="false">
      <c r="A36" s="17" t="n">
        <v>3265</v>
      </c>
      <c r="B36" s="17" t="s">
        <v>125</v>
      </c>
      <c r="C36" s="17" t="s">
        <v>55</v>
      </c>
      <c r="D36" s="33" t="n">
        <v>45382</v>
      </c>
      <c r="E36" s="17" t="s">
        <v>49</v>
      </c>
      <c r="F36" s="17" t="n">
        <v>5</v>
      </c>
      <c r="G36" s="17" t="s">
        <v>42</v>
      </c>
      <c r="H36" s="17" t="s">
        <v>49</v>
      </c>
      <c r="I36" s="17" t="s">
        <v>92</v>
      </c>
      <c r="J36" s="17" t="s">
        <v>49</v>
      </c>
      <c r="K36" s="17" t="n">
        <v>0</v>
      </c>
      <c r="L36" s="17" t="n">
        <v>1</v>
      </c>
      <c r="M36" s="17" t="n">
        <v>4</v>
      </c>
      <c r="N36" s="34" t="n">
        <f aca="false">IF(D36="","",DATE(YEAR(D36),MONTH(D36),1))</f>
        <v>45352</v>
      </c>
      <c r="O36" s="35" t="n">
        <f aca="false">IF(A36="","",IF(ISNUMBER(I36),I36,0))</f>
        <v>0</v>
      </c>
      <c r="P36" s="35" t="n">
        <f aca="false">IF(A36="","",F36+O36+K36)</f>
        <v>5</v>
      </c>
      <c r="Q36" s="36" t="str">
        <f aca="false">IF(A36="","",IF(P36-L36=M36,"OK","Divergente"))</f>
        <v>OK</v>
      </c>
    </row>
    <row r="37" customFormat="false" ht="15" hidden="false" customHeight="false" outlineLevel="0" collapsed="false">
      <c r="A37" s="17" t="n">
        <v>3266</v>
      </c>
      <c r="B37" s="17" t="s">
        <v>126</v>
      </c>
      <c r="C37" s="17" t="s">
        <v>55</v>
      </c>
      <c r="D37" s="33" t="n">
        <v>45383</v>
      </c>
      <c r="E37" s="17" t="s">
        <v>48</v>
      </c>
      <c r="F37" s="17" t="n">
        <v>5</v>
      </c>
      <c r="G37" s="17" t="s">
        <v>42</v>
      </c>
      <c r="H37" s="17" t="s">
        <v>49</v>
      </c>
      <c r="I37" s="17" t="s">
        <v>92</v>
      </c>
      <c r="J37" s="17" t="s">
        <v>49</v>
      </c>
      <c r="K37" s="17" t="n">
        <v>0</v>
      </c>
      <c r="L37" s="17" t="n">
        <v>0</v>
      </c>
      <c r="M37" s="17" t="n">
        <v>5</v>
      </c>
      <c r="N37" s="34" t="n">
        <f aca="false">IF(D37="","",DATE(YEAR(D37),MONTH(D37),1))</f>
        <v>45383</v>
      </c>
      <c r="O37" s="35" t="n">
        <f aca="false">IF(A37="","",IF(ISNUMBER(I37),I37,0))</f>
        <v>0</v>
      </c>
      <c r="P37" s="35" t="n">
        <f aca="false">IF(A37="","",F37+O37+K37)</f>
        <v>5</v>
      </c>
      <c r="Q37" s="36" t="str">
        <f aca="false">IF(A37="","",IF(P37-L37=M37,"OK","Divergente"))</f>
        <v>OK</v>
      </c>
    </row>
    <row r="38" customFormat="false" ht="15" hidden="false" customHeight="false" outlineLevel="0" collapsed="false">
      <c r="A38" s="17" t="n">
        <v>3267</v>
      </c>
      <c r="B38" s="17" t="s">
        <v>127</v>
      </c>
      <c r="C38" s="17" t="s">
        <v>57</v>
      </c>
      <c r="D38" s="33" t="n">
        <v>45384</v>
      </c>
      <c r="E38" s="17" t="s">
        <v>49</v>
      </c>
      <c r="F38" s="17" t="n">
        <v>15</v>
      </c>
      <c r="G38" s="17" t="s">
        <v>43</v>
      </c>
      <c r="H38" s="17" t="s">
        <v>48</v>
      </c>
      <c r="I38" s="17" t="n">
        <v>30</v>
      </c>
      <c r="J38" s="17" t="s">
        <v>48</v>
      </c>
      <c r="K38" s="17" t="n">
        <v>20</v>
      </c>
      <c r="L38" s="17" t="n">
        <v>7</v>
      </c>
      <c r="M38" s="17" t="n">
        <v>58</v>
      </c>
      <c r="N38" s="34" t="n">
        <f aca="false">IF(D38="","",DATE(YEAR(D38),MONTH(D38),1))</f>
        <v>45383</v>
      </c>
      <c r="O38" s="35" t="n">
        <f aca="false">IF(A38="","",IF(ISNUMBER(I38),I38,0))</f>
        <v>30</v>
      </c>
      <c r="P38" s="35" t="n">
        <f aca="false">IF(A38="","",F38+O38+K38)</f>
        <v>65</v>
      </c>
      <c r="Q38" s="36" t="str">
        <f aca="false">IF(A38="","",IF(P38-L38=M38,"OK","Divergente"))</f>
        <v>OK</v>
      </c>
    </row>
    <row r="39" customFormat="false" ht="15" hidden="false" customHeight="false" outlineLevel="0" collapsed="false">
      <c r="A39" s="17" t="n">
        <v>3268</v>
      </c>
      <c r="B39" s="17" t="s">
        <v>128</v>
      </c>
      <c r="C39" s="17" t="s">
        <v>56</v>
      </c>
      <c r="D39" s="33" t="n">
        <v>45385</v>
      </c>
      <c r="E39" s="17" t="s">
        <v>48</v>
      </c>
      <c r="F39" s="17" t="n">
        <v>10</v>
      </c>
      <c r="G39" s="17" t="s">
        <v>44</v>
      </c>
      <c r="H39" s="17" t="s">
        <v>49</v>
      </c>
      <c r="I39" s="17" t="s">
        <v>92</v>
      </c>
      <c r="J39" s="17" t="s">
        <v>48</v>
      </c>
      <c r="K39" s="17" t="n">
        <v>20</v>
      </c>
      <c r="L39" s="17" t="n">
        <v>10</v>
      </c>
      <c r="M39" s="17" t="n">
        <v>20</v>
      </c>
      <c r="N39" s="34" t="n">
        <f aca="false">IF(D39="","",DATE(YEAR(D39),MONTH(D39),1))</f>
        <v>45383</v>
      </c>
      <c r="O39" s="35" t="n">
        <f aca="false">IF(A39="","",IF(ISNUMBER(I39),I39,0))</f>
        <v>0</v>
      </c>
      <c r="P39" s="35" t="n">
        <f aca="false">IF(A39="","",F39+O39+K39)</f>
        <v>30</v>
      </c>
      <c r="Q39" s="36" t="str">
        <f aca="false">IF(A39="","",IF(P39-L39=M39,"OK","Divergente"))</f>
        <v>OK</v>
      </c>
    </row>
    <row r="40" customFormat="false" ht="15" hidden="false" customHeight="false" outlineLevel="0" collapsed="false">
      <c r="A40" s="17" t="n">
        <v>3269</v>
      </c>
      <c r="B40" s="17" t="s">
        <v>129</v>
      </c>
      <c r="C40" s="17" t="s">
        <v>55</v>
      </c>
      <c r="D40" s="33" t="n">
        <v>45386</v>
      </c>
      <c r="E40" s="17" t="s">
        <v>49</v>
      </c>
      <c r="F40" s="17" t="n">
        <v>5</v>
      </c>
      <c r="G40" s="17" t="s">
        <v>43</v>
      </c>
      <c r="H40" s="17" t="s">
        <v>49</v>
      </c>
      <c r="I40" s="17" t="s">
        <v>92</v>
      </c>
      <c r="J40" s="17" t="s">
        <v>49</v>
      </c>
      <c r="K40" s="17" t="n">
        <v>0</v>
      </c>
      <c r="L40" s="17" t="n">
        <v>1</v>
      </c>
      <c r="M40" s="17" t="n">
        <v>4</v>
      </c>
      <c r="N40" s="34" t="n">
        <f aca="false">IF(D40="","",DATE(YEAR(D40),MONTH(D40),1))</f>
        <v>45383</v>
      </c>
      <c r="O40" s="35" t="n">
        <f aca="false">IF(A40="","",IF(ISNUMBER(I40),I40,0))</f>
        <v>0</v>
      </c>
      <c r="P40" s="35" t="n">
        <f aca="false">IF(A40="","",F40+O40+K40)</f>
        <v>5</v>
      </c>
      <c r="Q40" s="36" t="str">
        <f aca="false">IF(A40="","",IF(P40-L40=M40,"OK","Divergente"))</f>
        <v>OK</v>
      </c>
    </row>
    <row r="41" customFormat="false" ht="15" hidden="false" customHeight="false" outlineLevel="0" collapsed="false">
      <c r="A41" s="17" t="n">
        <v>3270</v>
      </c>
      <c r="B41" s="17" t="s">
        <v>130</v>
      </c>
      <c r="C41" s="17" t="s">
        <v>57</v>
      </c>
      <c r="D41" s="33" t="n">
        <v>45387</v>
      </c>
      <c r="E41" s="17" t="s">
        <v>48</v>
      </c>
      <c r="F41" s="17" t="n">
        <v>15</v>
      </c>
      <c r="G41" s="17" t="s">
        <v>42</v>
      </c>
      <c r="H41" s="17" t="s">
        <v>48</v>
      </c>
      <c r="I41" s="17" t="n">
        <v>30</v>
      </c>
      <c r="J41" s="17" t="s">
        <v>48</v>
      </c>
      <c r="K41" s="17" t="n">
        <v>20</v>
      </c>
      <c r="L41" s="17" t="n">
        <v>15</v>
      </c>
      <c r="M41" s="17" t="n">
        <v>50</v>
      </c>
      <c r="N41" s="34" t="n">
        <f aca="false">IF(D41="","",DATE(YEAR(D41),MONTH(D41),1))</f>
        <v>45383</v>
      </c>
      <c r="O41" s="35" t="n">
        <f aca="false">IF(A41="","",IF(ISNUMBER(I41),I41,0))</f>
        <v>30</v>
      </c>
      <c r="P41" s="35" t="n">
        <f aca="false">IF(A41="","",F41+O41+K41)</f>
        <v>65</v>
      </c>
      <c r="Q41" s="36" t="str">
        <f aca="false">IF(A41="","",IF(P41-L41=M41,"OK","Divergente"))</f>
        <v>OK</v>
      </c>
    </row>
    <row r="42" customFormat="false" ht="15" hidden="false" customHeight="false" outlineLevel="0" collapsed="false">
      <c r="A42" s="17" t="n">
        <v>3271</v>
      </c>
      <c r="B42" s="17" t="s">
        <v>131</v>
      </c>
      <c r="C42" s="17" t="s">
        <v>56</v>
      </c>
      <c r="D42" s="33" t="n">
        <v>45388</v>
      </c>
      <c r="E42" s="17" t="s">
        <v>49</v>
      </c>
      <c r="F42" s="17" t="n">
        <v>10</v>
      </c>
      <c r="G42" s="17" t="s">
        <v>42</v>
      </c>
      <c r="H42" s="17" t="s">
        <v>49</v>
      </c>
      <c r="I42" s="17" t="s">
        <v>92</v>
      </c>
      <c r="J42" s="17" t="s">
        <v>48</v>
      </c>
      <c r="K42" s="17" t="n">
        <v>20</v>
      </c>
      <c r="L42" s="17" t="n">
        <v>5</v>
      </c>
      <c r="M42" s="17" t="n">
        <v>25</v>
      </c>
      <c r="N42" s="34" t="n">
        <f aca="false">IF(D42="","",DATE(YEAR(D42),MONTH(D42),1))</f>
        <v>45383</v>
      </c>
      <c r="O42" s="35" t="n">
        <f aca="false">IF(A42="","",IF(ISNUMBER(I42),I42,0))</f>
        <v>0</v>
      </c>
      <c r="P42" s="35" t="n">
        <f aca="false">IF(A42="","",F42+O42+K42)</f>
        <v>30</v>
      </c>
      <c r="Q42" s="36" t="str">
        <f aca="false">IF(A42="","",IF(P42-L42=M42,"OK","Divergente"))</f>
        <v>OK</v>
      </c>
    </row>
    <row r="43" customFormat="false" ht="15" hidden="false" customHeight="false" outlineLevel="0" collapsed="false">
      <c r="A43" s="17" t="n">
        <v>3272</v>
      </c>
      <c r="B43" s="17" t="s">
        <v>132</v>
      </c>
      <c r="C43" s="17" t="s">
        <v>55</v>
      </c>
      <c r="D43" s="33" t="n">
        <v>45389</v>
      </c>
      <c r="E43" s="17" t="s">
        <v>48</v>
      </c>
      <c r="F43" s="17" t="n">
        <v>5</v>
      </c>
      <c r="G43" s="17" t="s">
        <v>44</v>
      </c>
      <c r="H43" s="17" t="s">
        <v>49</v>
      </c>
      <c r="I43" s="17" t="s">
        <v>92</v>
      </c>
      <c r="J43" s="17" t="s">
        <v>49</v>
      </c>
      <c r="K43" s="17" t="n">
        <v>0</v>
      </c>
      <c r="L43" s="17" t="n">
        <v>0</v>
      </c>
      <c r="M43" s="17" t="n">
        <v>5</v>
      </c>
      <c r="N43" s="34" t="n">
        <f aca="false">IF(D43="","",DATE(YEAR(D43),MONTH(D43),1))</f>
        <v>45383</v>
      </c>
      <c r="O43" s="35" t="n">
        <f aca="false">IF(A43="","",IF(ISNUMBER(I43),I43,0))</f>
        <v>0</v>
      </c>
      <c r="P43" s="35" t="n">
        <f aca="false">IF(A43="","",F43+O43+K43)</f>
        <v>5</v>
      </c>
      <c r="Q43" s="36" t="str">
        <f aca="false">IF(A43="","",IF(P43-L43=M43,"OK","Divergente"))</f>
        <v>OK</v>
      </c>
    </row>
    <row r="44" customFormat="false" ht="15" hidden="false" customHeight="false" outlineLevel="0" collapsed="false">
      <c r="A44" s="17" t="n">
        <v>3273</v>
      </c>
      <c r="B44" s="17" t="s">
        <v>133</v>
      </c>
      <c r="C44" s="17" t="s">
        <v>57</v>
      </c>
      <c r="D44" s="33" t="n">
        <v>45390</v>
      </c>
      <c r="E44" s="17" t="s">
        <v>49</v>
      </c>
      <c r="F44" s="17" t="n">
        <v>15</v>
      </c>
      <c r="G44" s="17" t="s">
        <v>43</v>
      </c>
      <c r="H44" s="17" t="s">
        <v>48</v>
      </c>
      <c r="I44" s="17" t="n">
        <v>30</v>
      </c>
      <c r="J44" s="17" t="s">
        <v>48</v>
      </c>
      <c r="K44" s="17" t="n">
        <v>20</v>
      </c>
      <c r="L44" s="17" t="n">
        <v>20</v>
      </c>
      <c r="M44" s="17" t="n">
        <v>45</v>
      </c>
      <c r="N44" s="34" t="n">
        <f aca="false">IF(D44="","",DATE(YEAR(D44),MONTH(D44),1))</f>
        <v>45383</v>
      </c>
      <c r="O44" s="35" t="n">
        <f aca="false">IF(A44="","",IF(ISNUMBER(I44),I44,0))</f>
        <v>30</v>
      </c>
      <c r="P44" s="35" t="n">
        <f aca="false">IF(A44="","",F44+O44+K44)</f>
        <v>65</v>
      </c>
      <c r="Q44" s="36" t="str">
        <f aca="false">IF(A44="","",IF(P44-L44=M44,"OK","Divergente"))</f>
        <v>OK</v>
      </c>
    </row>
    <row r="45" customFormat="false" ht="15" hidden="false" customHeight="false" outlineLevel="0" collapsed="false">
      <c r="A45" s="17" t="n">
        <v>3274</v>
      </c>
      <c r="B45" s="17" t="s">
        <v>134</v>
      </c>
      <c r="C45" s="17" t="s">
        <v>56</v>
      </c>
      <c r="D45" s="33" t="n">
        <v>45391</v>
      </c>
      <c r="E45" s="17" t="s">
        <v>48</v>
      </c>
      <c r="F45" s="17" t="n">
        <v>10</v>
      </c>
      <c r="G45" s="17" t="s">
        <v>43</v>
      </c>
      <c r="H45" s="17" t="s">
        <v>49</v>
      </c>
      <c r="I45" s="17" t="s">
        <v>92</v>
      </c>
      <c r="J45" s="17" t="s">
        <v>48</v>
      </c>
      <c r="K45" s="17" t="n">
        <v>20</v>
      </c>
      <c r="L45" s="17" t="n">
        <v>12</v>
      </c>
      <c r="M45" s="17" t="n">
        <v>18</v>
      </c>
      <c r="N45" s="34" t="n">
        <f aca="false">IF(D45="","",DATE(YEAR(D45),MONTH(D45),1))</f>
        <v>45383</v>
      </c>
      <c r="O45" s="35" t="n">
        <f aca="false">IF(A45="","",IF(ISNUMBER(I45),I45,0))</f>
        <v>0</v>
      </c>
      <c r="P45" s="35" t="n">
        <f aca="false">IF(A45="","",F45+O45+K45)</f>
        <v>30</v>
      </c>
      <c r="Q45" s="36" t="str">
        <f aca="false">IF(A45="","",IF(P45-L45=M45,"OK","Divergente"))</f>
        <v>OK</v>
      </c>
    </row>
    <row r="46" customFormat="false" ht="15" hidden="false" customHeight="false" outlineLevel="0" collapsed="false">
      <c r="A46" s="17" t="n">
        <v>3275</v>
      </c>
      <c r="B46" s="17" t="s">
        <v>135</v>
      </c>
      <c r="C46" s="17" t="s">
        <v>55</v>
      </c>
      <c r="D46" s="33" t="n">
        <v>45392</v>
      </c>
      <c r="E46" s="17" t="s">
        <v>49</v>
      </c>
      <c r="F46" s="17" t="n">
        <v>5</v>
      </c>
      <c r="G46" s="17" t="s">
        <v>42</v>
      </c>
      <c r="H46" s="17" t="s">
        <v>49</v>
      </c>
      <c r="I46" s="17" t="s">
        <v>92</v>
      </c>
      <c r="J46" s="17" t="s">
        <v>49</v>
      </c>
      <c r="K46" s="17" t="n">
        <v>0</v>
      </c>
      <c r="L46" s="17" t="n">
        <v>2</v>
      </c>
      <c r="M46" s="17" t="n">
        <v>3</v>
      </c>
      <c r="N46" s="34" t="n">
        <f aca="false">IF(D46="","",DATE(YEAR(D46),MONTH(D46),1))</f>
        <v>45383</v>
      </c>
      <c r="O46" s="35" t="n">
        <f aca="false">IF(A46="","",IF(ISNUMBER(I46),I46,0))</f>
        <v>0</v>
      </c>
      <c r="P46" s="35" t="n">
        <f aca="false">IF(A46="","",F46+O46+K46)</f>
        <v>5</v>
      </c>
      <c r="Q46" s="36" t="str">
        <f aca="false">IF(A46="","",IF(P46-L46=M46,"OK","Divergente"))</f>
        <v>OK</v>
      </c>
    </row>
    <row r="47" customFormat="false" ht="15" hidden="false" customHeight="false" outlineLevel="0" collapsed="false">
      <c r="A47" s="17" t="n">
        <v>3276</v>
      </c>
      <c r="B47" s="17" t="s">
        <v>136</v>
      </c>
      <c r="C47" s="17" t="s">
        <v>57</v>
      </c>
      <c r="D47" s="33" t="n">
        <v>45393</v>
      </c>
      <c r="E47" s="17" t="s">
        <v>48</v>
      </c>
      <c r="F47" s="17" t="n">
        <v>15</v>
      </c>
      <c r="G47" s="17" t="s">
        <v>44</v>
      </c>
      <c r="H47" s="17" t="s">
        <v>48</v>
      </c>
      <c r="I47" s="17" t="n">
        <v>30</v>
      </c>
      <c r="J47" s="17" t="s">
        <v>48</v>
      </c>
      <c r="K47" s="17" t="n">
        <v>20</v>
      </c>
      <c r="L47" s="17" t="n">
        <v>5</v>
      </c>
      <c r="M47" s="17" t="n">
        <v>60</v>
      </c>
      <c r="N47" s="34" t="n">
        <f aca="false">IF(D47="","",DATE(YEAR(D47),MONTH(D47),1))</f>
        <v>45383</v>
      </c>
      <c r="O47" s="35" t="n">
        <f aca="false">IF(A47="","",IF(ISNUMBER(I47),I47,0))</f>
        <v>30</v>
      </c>
      <c r="P47" s="35" t="n">
        <f aca="false">IF(A47="","",F47+O47+K47)</f>
        <v>65</v>
      </c>
      <c r="Q47" s="36" t="str">
        <f aca="false">IF(A47="","",IF(P47-L47=M47,"OK","Divergente"))</f>
        <v>OK</v>
      </c>
    </row>
    <row r="48" customFormat="false" ht="15" hidden="false" customHeight="false" outlineLevel="0" collapsed="false">
      <c r="A48" s="17" t="n">
        <v>3277</v>
      </c>
      <c r="B48" s="17" t="s">
        <v>137</v>
      </c>
      <c r="C48" s="17" t="s">
        <v>56</v>
      </c>
      <c r="D48" s="33" t="n">
        <v>45394</v>
      </c>
      <c r="E48" s="17" t="s">
        <v>49</v>
      </c>
      <c r="F48" s="17" t="n">
        <v>10</v>
      </c>
      <c r="G48" s="17" t="s">
        <v>42</v>
      </c>
      <c r="H48" s="17" t="s">
        <v>49</v>
      </c>
      <c r="I48" s="17" t="s">
        <v>92</v>
      </c>
      <c r="J48" s="17" t="s">
        <v>48</v>
      </c>
      <c r="K48" s="17" t="n">
        <v>20</v>
      </c>
      <c r="L48" s="17" t="n">
        <v>10</v>
      </c>
      <c r="M48" s="17" t="n">
        <v>20</v>
      </c>
      <c r="N48" s="34" t="n">
        <f aca="false">IF(D48="","",DATE(YEAR(D48),MONTH(D48),1))</f>
        <v>45383</v>
      </c>
      <c r="O48" s="35" t="n">
        <f aca="false">IF(A48="","",IF(ISNUMBER(I48),I48,0))</f>
        <v>0</v>
      </c>
      <c r="P48" s="35" t="n">
        <f aca="false">IF(A48="","",F48+O48+K48)</f>
        <v>30</v>
      </c>
      <c r="Q48" s="36" t="str">
        <f aca="false">IF(A48="","",IF(P48-L48=M48,"OK","Divergente"))</f>
        <v>OK</v>
      </c>
    </row>
    <row r="49" customFormat="false" ht="15" hidden="false" customHeight="false" outlineLevel="0" collapsed="false">
      <c r="A49" s="17" t="n">
        <v>3278</v>
      </c>
      <c r="B49" s="17" t="s">
        <v>138</v>
      </c>
      <c r="C49" s="17" t="s">
        <v>55</v>
      </c>
      <c r="D49" s="33" t="n">
        <v>45395</v>
      </c>
      <c r="E49" s="17" t="s">
        <v>48</v>
      </c>
      <c r="F49" s="17" t="n">
        <v>5</v>
      </c>
      <c r="G49" s="17" t="s">
        <v>43</v>
      </c>
      <c r="H49" s="17" t="s">
        <v>49</v>
      </c>
      <c r="I49" s="17" t="s">
        <v>92</v>
      </c>
      <c r="J49" s="17" t="s">
        <v>49</v>
      </c>
      <c r="K49" s="17" t="n">
        <v>0</v>
      </c>
      <c r="L49" s="17" t="n">
        <v>0</v>
      </c>
      <c r="M49" s="17" t="n">
        <v>5</v>
      </c>
      <c r="N49" s="34" t="n">
        <f aca="false">IF(D49="","",DATE(YEAR(D49),MONTH(D49),1))</f>
        <v>45383</v>
      </c>
      <c r="O49" s="35" t="n">
        <f aca="false">IF(A49="","",IF(ISNUMBER(I49),I49,0))</f>
        <v>0</v>
      </c>
      <c r="P49" s="35" t="n">
        <f aca="false">IF(A49="","",F49+O49+K49)</f>
        <v>5</v>
      </c>
      <c r="Q49" s="36" t="str">
        <f aca="false">IF(A49="","",IF(P49-L49=M49,"OK","Divergente"))</f>
        <v>OK</v>
      </c>
    </row>
    <row r="50" customFormat="false" ht="15" hidden="false" customHeight="false" outlineLevel="0" collapsed="false">
      <c r="A50" s="17" t="n">
        <v>3279</v>
      </c>
      <c r="B50" s="17" t="s">
        <v>139</v>
      </c>
      <c r="C50" s="17" t="s">
        <v>57</v>
      </c>
      <c r="D50" s="33" t="n">
        <v>45396</v>
      </c>
      <c r="E50" s="17" t="s">
        <v>49</v>
      </c>
      <c r="F50" s="17" t="n">
        <v>15</v>
      </c>
      <c r="G50" s="17" t="s">
        <v>42</v>
      </c>
      <c r="H50" s="17" t="s">
        <v>48</v>
      </c>
      <c r="I50" s="17" t="n">
        <v>30</v>
      </c>
      <c r="J50" s="17" t="s">
        <v>48</v>
      </c>
      <c r="K50" s="17" t="n">
        <v>20</v>
      </c>
      <c r="L50" s="17" t="n">
        <v>3</v>
      </c>
      <c r="M50" s="17" t="n">
        <v>62</v>
      </c>
      <c r="N50" s="34" t="n">
        <f aca="false">IF(D50="","",DATE(YEAR(D50),MONTH(D50),1))</f>
        <v>45383</v>
      </c>
      <c r="O50" s="35" t="n">
        <f aca="false">IF(A50="","",IF(ISNUMBER(I50),I50,0))</f>
        <v>30</v>
      </c>
      <c r="P50" s="35" t="n">
        <f aca="false">IF(A50="","",F50+O50+K50)</f>
        <v>65</v>
      </c>
      <c r="Q50" s="36" t="str">
        <f aca="false">IF(A50="","",IF(P50-L50=M50,"OK","Divergente"))</f>
        <v>OK</v>
      </c>
    </row>
    <row r="51" customFormat="false" ht="15" hidden="false" customHeight="false" outlineLevel="0" collapsed="false">
      <c r="A51" s="17" t="n">
        <v>3280</v>
      </c>
      <c r="B51" s="17" t="s">
        <v>140</v>
      </c>
      <c r="C51" s="17" t="s">
        <v>56</v>
      </c>
      <c r="D51" s="33" t="n">
        <v>45397</v>
      </c>
      <c r="E51" s="17" t="s">
        <v>48</v>
      </c>
      <c r="F51" s="17" t="n">
        <v>10</v>
      </c>
      <c r="G51" s="17" t="s">
        <v>44</v>
      </c>
      <c r="H51" s="17" t="s">
        <v>49</v>
      </c>
      <c r="I51" s="17" t="s">
        <v>92</v>
      </c>
      <c r="J51" s="17" t="s">
        <v>48</v>
      </c>
      <c r="K51" s="17" t="n">
        <v>20</v>
      </c>
      <c r="L51" s="17" t="n">
        <v>15</v>
      </c>
      <c r="M51" s="17" t="n">
        <v>15</v>
      </c>
      <c r="N51" s="34" t="n">
        <f aca="false">IF(D51="","",DATE(YEAR(D51),MONTH(D51),1))</f>
        <v>45383</v>
      </c>
      <c r="O51" s="35" t="n">
        <f aca="false">IF(A51="","",IF(ISNUMBER(I51),I51,0))</f>
        <v>0</v>
      </c>
      <c r="P51" s="35" t="n">
        <f aca="false">IF(A51="","",F51+O51+K51)</f>
        <v>30</v>
      </c>
      <c r="Q51" s="36" t="str">
        <f aca="false">IF(A51="","",IF(P51-L51=M51,"OK","Divergente"))</f>
        <v>OK</v>
      </c>
    </row>
    <row r="52" customFormat="false" ht="15" hidden="false" customHeight="false" outlineLevel="0" collapsed="false">
      <c r="A52" s="17" t="n">
        <v>3281</v>
      </c>
      <c r="B52" s="17" t="s">
        <v>141</v>
      </c>
      <c r="C52" s="17" t="s">
        <v>55</v>
      </c>
      <c r="D52" s="33" t="n">
        <v>45398</v>
      </c>
      <c r="E52" s="17" t="s">
        <v>49</v>
      </c>
      <c r="F52" s="17" t="n">
        <v>5</v>
      </c>
      <c r="G52" s="17" t="s">
        <v>42</v>
      </c>
      <c r="H52" s="17" t="s">
        <v>49</v>
      </c>
      <c r="I52" s="17" t="s">
        <v>92</v>
      </c>
      <c r="J52" s="17" t="s">
        <v>49</v>
      </c>
      <c r="K52" s="17" t="n">
        <v>0</v>
      </c>
      <c r="L52" s="17" t="n">
        <v>1</v>
      </c>
      <c r="M52" s="17" t="n">
        <v>4</v>
      </c>
      <c r="N52" s="34" t="n">
        <f aca="false">IF(D52="","",DATE(YEAR(D52),MONTH(D52),1))</f>
        <v>45383</v>
      </c>
      <c r="O52" s="35" t="n">
        <f aca="false">IF(A52="","",IF(ISNUMBER(I52),I52,0))</f>
        <v>0</v>
      </c>
      <c r="P52" s="35" t="n">
        <f aca="false">IF(A52="","",F52+O52+K52)</f>
        <v>5</v>
      </c>
      <c r="Q52" s="36" t="str">
        <f aca="false">IF(A52="","",IF(P52-L52=M52,"OK","Divergente"))</f>
        <v>OK</v>
      </c>
    </row>
    <row r="53" customFormat="false" ht="15" hidden="false" customHeight="false" outlineLevel="0" collapsed="false">
      <c r="A53" s="17" t="n">
        <v>3282</v>
      </c>
      <c r="B53" s="17" t="s">
        <v>142</v>
      </c>
      <c r="C53" s="17" t="s">
        <v>57</v>
      </c>
      <c r="D53" s="33" t="n">
        <v>45399</v>
      </c>
      <c r="E53" s="17" t="s">
        <v>48</v>
      </c>
      <c r="F53" s="17" t="n">
        <v>15</v>
      </c>
      <c r="G53" s="17" t="s">
        <v>43</v>
      </c>
      <c r="H53" s="17" t="s">
        <v>48</v>
      </c>
      <c r="I53" s="17" t="n">
        <v>30</v>
      </c>
      <c r="J53" s="17" t="s">
        <v>48</v>
      </c>
      <c r="K53" s="17" t="n">
        <v>20</v>
      </c>
      <c r="L53" s="17" t="n">
        <v>7</v>
      </c>
      <c r="M53" s="17" t="n">
        <v>58</v>
      </c>
      <c r="N53" s="34" t="n">
        <f aca="false">IF(D53="","",DATE(YEAR(D53),MONTH(D53),1))</f>
        <v>45383</v>
      </c>
      <c r="O53" s="35" t="n">
        <f aca="false">IF(A53="","",IF(ISNUMBER(I53),I53,0))</f>
        <v>30</v>
      </c>
      <c r="P53" s="35" t="n">
        <f aca="false">IF(A53="","",F53+O53+K53)</f>
        <v>65</v>
      </c>
      <c r="Q53" s="36" t="str">
        <f aca="false">IF(A53="","",IF(P53-L53=M53,"OK","Divergente"))</f>
        <v>OK</v>
      </c>
    </row>
    <row r="54" customFormat="false" ht="15" hidden="false" customHeight="false" outlineLevel="0" collapsed="false">
      <c r="A54" s="17" t="n">
        <v>3283</v>
      </c>
      <c r="B54" s="17" t="s">
        <v>143</v>
      </c>
      <c r="C54" s="17" t="s">
        <v>56</v>
      </c>
      <c r="D54" s="33" t="n">
        <v>45400</v>
      </c>
      <c r="E54" s="17" t="s">
        <v>49</v>
      </c>
      <c r="F54" s="17" t="n">
        <v>10</v>
      </c>
      <c r="G54" s="17" t="s">
        <v>42</v>
      </c>
      <c r="H54" s="17" t="s">
        <v>49</v>
      </c>
      <c r="I54" s="17" t="s">
        <v>92</v>
      </c>
      <c r="J54" s="17" t="s">
        <v>48</v>
      </c>
      <c r="K54" s="17" t="n">
        <v>20</v>
      </c>
      <c r="L54" s="17" t="n">
        <v>10</v>
      </c>
      <c r="M54" s="17" t="n">
        <v>20</v>
      </c>
      <c r="N54" s="34" t="n">
        <f aca="false">IF(D54="","",DATE(YEAR(D54),MONTH(D54),1))</f>
        <v>45383</v>
      </c>
      <c r="O54" s="35" t="n">
        <f aca="false">IF(A54="","",IF(ISNUMBER(I54),I54,0))</f>
        <v>0</v>
      </c>
      <c r="P54" s="35" t="n">
        <f aca="false">IF(A54="","",F54+O54+K54)</f>
        <v>30</v>
      </c>
      <c r="Q54" s="36" t="str">
        <f aca="false">IF(A54="","",IF(P54-L54=M54,"OK","Divergente"))</f>
        <v>OK</v>
      </c>
    </row>
    <row r="55" customFormat="false" ht="15" hidden="false" customHeight="false" outlineLevel="0" collapsed="false">
      <c r="A55" s="17" t="n">
        <v>3284</v>
      </c>
      <c r="B55" s="17" t="s">
        <v>144</v>
      </c>
      <c r="C55" s="17" t="s">
        <v>55</v>
      </c>
      <c r="D55" s="33" t="n">
        <v>45401</v>
      </c>
      <c r="E55" s="17" t="s">
        <v>48</v>
      </c>
      <c r="F55" s="17" t="n">
        <v>5</v>
      </c>
      <c r="G55" s="17" t="s">
        <v>44</v>
      </c>
      <c r="H55" s="17" t="s">
        <v>49</v>
      </c>
      <c r="I55" s="17" t="s">
        <v>92</v>
      </c>
      <c r="J55" s="17" t="s">
        <v>49</v>
      </c>
      <c r="K55" s="17" t="n">
        <v>0</v>
      </c>
      <c r="L55" s="17" t="n">
        <v>0</v>
      </c>
      <c r="M55" s="17" t="n">
        <v>5</v>
      </c>
      <c r="N55" s="34" t="n">
        <f aca="false">IF(D55="","",DATE(YEAR(D55),MONTH(D55),1))</f>
        <v>45383</v>
      </c>
      <c r="O55" s="35" t="n">
        <f aca="false">IF(A55="","",IF(ISNUMBER(I55),I55,0))</f>
        <v>0</v>
      </c>
      <c r="P55" s="35" t="n">
        <f aca="false">IF(A55="","",F55+O55+K55)</f>
        <v>5</v>
      </c>
      <c r="Q55" s="36" t="str">
        <f aca="false">IF(A55="","",IF(P55-L55=M55,"OK","Divergente"))</f>
        <v>OK</v>
      </c>
    </row>
    <row r="56" customFormat="false" ht="15" hidden="false" customHeight="false" outlineLevel="0" collapsed="false">
      <c r="A56" s="17" t="n">
        <v>3285</v>
      </c>
      <c r="B56" s="17" t="s">
        <v>145</v>
      </c>
      <c r="C56" s="17" t="s">
        <v>57</v>
      </c>
      <c r="D56" s="33" t="n">
        <v>45402</v>
      </c>
      <c r="E56" s="17" t="s">
        <v>49</v>
      </c>
      <c r="F56" s="17" t="n">
        <v>15</v>
      </c>
      <c r="G56" s="17" t="s">
        <v>42</v>
      </c>
      <c r="H56" s="17" t="s">
        <v>48</v>
      </c>
      <c r="I56" s="17" t="n">
        <v>30</v>
      </c>
      <c r="J56" s="17" t="s">
        <v>48</v>
      </c>
      <c r="K56" s="17" t="n">
        <v>20</v>
      </c>
      <c r="L56" s="17" t="n">
        <v>20</v>
      </c>
      <c r="M56" s="17" t="n">
        <v>45</v>
      </c>
      <c r="N56" s="34" t="n">
        <f aca="false">IF(D56="","",DATE(YEAR(D56),MONTH(D56),1))</f>
        <v>45383</v>
      </c>
      <c r="O56" s="35" t="n">
        <f aca="false">IF(A56="","",IF(ISNUMBER(I56),I56,0))</f>
        <v>30</v>
      </c>
      <c r="P56" s="35" t="n">
        <f aca="false">IF(A56="","",F56+O56+K56)</f>
        <v>65</v>
      </c>
      <c r="Q56" s="36" t="str">
        <f aca="false">IF(A56="","",IF(P56-L56=M56,"OK","Divergente"))</f>
        <v>OK</v>
      </c>
    </row>
    <row r="57" customFormat="false" ht="15" hidden="false" customHeight="false" outlineLevel="0" collapsed="false">
      <c r="A57" s="17" t="n">
        <v>3286</v>
      </c>
      <c r="B57" s="17" t="s">
        <v>146</v>
      </c>
      <c r="C57" s="17" t="s">
        <v>56</v>
      </c>
      <c r="D57" s="33" t="n">
        <v>45403</v>
      </c>
      <c r="E57" s="17" t="s">
        <v>48</v>
      </c>
      <c r="F57" s="17" t="n">
        <v>10</v>
      </c>
      <c r="G57" s="17" t="s">
        <v>43</v>
      </c>
      <c r="H57" s="17" t="s">
        <v>49</v>
      </c>
      <c r="I57" s="17" t="s">
        <v>92</v>
      </c>
      <c r="J57" s="17" t="s">
        <v>48</v>
      </c>
      <c r="K57" s="17" t="n">
        <v>20</v>
      </c>
      <c r="L57" s="17" t="n">
        <v>15</v>
      </c>
      <c r="M57" s="17" t="n">
        <v>15</v>
      </c>
      <c r="N57" s="34" t="n">
        <f aca="false">IF(D57="","",DATE(YEAR(D57),MONTH(D57),1))</f>
        <v>45383</v>
      </c>
      <c r="O57" s="35" t="n">
        <f aca="false">IF(A57="","",IF(ISNUMBER(I57),I57,0))</f>
        <v>0</v>
      </c>
      <c r="P57" s="35" t="n">
        <f aca="false">IF(A57="","",F57+O57+K57)</f>
        <v>30</v>
      </c>
      <c r="Q57" s="36" t="str">
        <f aca="false">IF(A57="","",IF(P57-L57=M57,"OK","Divergente"))</f>
        <v>OK</v>
      </c>
    </row>
    <row r="58" customFormat="false" ht="15" hidden="false" customHeight="false" outlineLevel="0" collapsed="false">
      <c r="A58" s="17" t="n">
        <v>3287</v>
      </c>
      <c r="B58" s="17" t="s">
        <v>147</v>
      </c>
      <c r="C58" s="17" t="s">
        <v>55</v>
      </c>
      <c r="D58" s="33" t="n">
        <v>45404</v>
      </c>
      <c r="E58" s="17" t="s">
        <v>49</v>
      </c>
      <c r="F58" s="17" t="n">
        <v>5</v>
      </c>
      <c r="G58" s="17" t="s">
        <v>42</v>
      </c>
      <c r="H58" s="17" t="s">
        <v>49</v>
      </c>
      <c r="I58" s="17" t="s">
        <v>92</v>
      </c>
      <c r="J58" s="17" t="s">
        <v>49</v>
      </c>
      <c r="K58" s="17" t="n">
        <v>0</v>
      </c>
      <c r="L58" s="17" t="n">
        <v>1</v>
      </c>
      <c r="M58" s="17" t="n">
        <v>4</v>
      </c>
      <c r="N58" s="34" t="n">
        <f aca="false">IF(D58="","",DATE(YEAR(D58),MONTH(D58),1))</f>
        <v>45383</v>
      </c>
      <c r="O58" s="35" t="n">
        <f aca="false">IF(A58="","",IF(ISNUMBER(I58),I58,0))</f>
        <v>0</v>
      </c>
      <c r="P58" s="35" t="n">
        <f aca="false">IF(A58="","",F58+O58+K58)</f>
        <v>5</v>
      </c>
      <c r="Q58" s="36" t="str">
        <f aca="false">IF(A58="","",IF(P58-L58=M58,"OK","Divergente"))</f>
        <v>OK</v>
      </c>
    </row>
    <row r="59" customFormat="false" ht="15" hidden="false" customHeight="false" outlineLevel="0" collapsed="false">
      <c r="A59" s="17" t="n">
        <v>3288</v>
      </c>
      <c r="B59" s="17" t="s">
        <v>148</v>
      </c>
      <c r="C59" s="17" t="s">
        <v>57</v>
      </c>
      <c r="D59" s="33" t="n">
        <v>45405</v>
      </c>
      <c r="E59" s="17" t="s">
        <v>48</v>
      </c>
      <c r="F59" s="17" t="n">
        <v>15</v>
      </c>
      <c r="G59" s="17" t="s">
        <v>44</v>
      </c>
      <c r="H59" s="17" t="s">
        <v>48</v>
      </c>
      <c r="I59" s="17" t="n">
        <v>30</v>
      </c>
      <c r="J59" s="17" t="s">
        <v>48</v>
      </c>
      <c r="K59" s="17" t="n">
        <v>20</v>
      </c>
      <c r="L59" s="17" t="n">
        <v>3</v>
      </c>
      <c r="M59" s="17" t="n">
        <v>62</v>
      </c>
      <c r="N59" s="34" t="n">
        <f aca="false">IF(D59="","",DATE(YEAR(D59),MONTH(D59),1))</f>
        <v>45383</v>
      </c>
      <c r="O59" s="35" t="n">
        <f aca="false">IF(A59="","",IF(ISNUMBER(I59),I59,0))</f>
        <v>30</v>
      </c>
      <c r="P59" s="35" t="n">
        <f aca="false">IF(A59="","",F59+O59+K59)</f>
        <v>65</v>
      </c>
      <c r="Q59" s="36" t="str">
        <f aca="false">IF(A59="","",IF(P59-L59=M59,"OK","Divergente"))</f>
        <v>OK</v>
      </c>
    </row>
    <row r="60" customFormat="false" ht="15" hidden="false" customHeight="false" outlineLevel="0" collapsed="false">
      <c r="A60" s="17" t="n">
        <v>3289</v>
      </c>
      <c r="B60" s="17" t="s">
        <v>149</v>
      </c>
      <c r="C60" s="17" t="s">
        <v>56</v>
      </c>
      <c r="D60" s="33" t="n">
        <v>45406</v>
      </c>
      <c r="E60" s="17" t="s">
        <v>49</v>
      </c>
      <c r="F60" s="17" t="n">
        <v>10</v>
      </c>
      <c r="G60" s="17" t="s">
        <v>42</v>
      </c>
      <c r="H60" s="17" t="s">
        <v>49</v>
      </c>
      <c r="I60" s="17" t="s">
        <v>92</v>
      </c>
      <c r="J60" s="17" t="s">
        <v>48</v>
      </c>
      <c r="K60" s="17" t="n">
        <v>20</v>
      </c>
      <c r="L60" s="17" t="n">
        <v>10</v>
      </c>
      <c r="M60" s="17" t="n">
        <v>20</v>
      </c>
      <c r="N60" s="34" t="n">
        <f aca="false">IF(D60="","",DATE(YEAR(D60),MONTH(D60),1))</f>
        <v>45383</v>
      </c>
      <c r="O60" s="35" t="n">
        <f aca="false">IF(A60="","",IF(ISNUMBER(I60),I60,0))</f>
        <v>0</v>
      </c>
      <c r="P60" s="35" t="n">
        <f aca="false">IF(A60="","",F60+O60+K60)</f>
        <v>30</v>
      </c>
      <c r="Q60" s="36" t="str">
        <f aca="false">IF(A60="","",IF(P60-L60=M60,"OK","Divergente"))</f>
        <v>OK</v>
      </c>
    </row>
    <row r="61" customFormat="false" ht="15" hidden="false" customHeight="false" outlineLevel="0" collapsed="false">
      <c r="A61" s="17" t="n">
        <v>3290</v>
      </c>
      <c r="B61" s="17" t="s">
        <v>150</v>
      </c>
      <c r="C61" s="17" t="s">
        <v>55</v>
      </c>
      <c r="D61" s="33" t="n">
        <v>45407</v>
      </c>
      <c r="E61" s="17" t="s">
        <v>48</v>
      </c>
      <c r="F61" s="17" t="n">
        <v>5</v>
      </c>
      <c r="G61" s="17" t="s">
        <v>43</v>
      </c>
      <c r="H61" s="17" t="s">
        <v>49</v>
      </c>
      <c r="I61" s="17" t="s">
        <v>92</v>
      </c>
      <c r="J61" s="17" t="s">
        <v>49</v>
      </c>
      <c r="K61" s="17" t="n">
        <v>0</v>
      </c>
      <c r="L61" s="17" t="n">
        <v>0</v>
      </c>
      <c r="M61" s="17" t="n">
        <v>5</v>
      </c>
      <c r="N61" s="34" t="n">
        <f aca="false">IF(D61="","",DATE(YEAR(D61),MONTH(D61),1))</f>
        <v>45383</v>
      </c>
      <c r="O61" s="35" t="n">
        <f aca="false">IF(A61="","",IF(ISNUMBER(I61),I61,0))</f>
        <v>0</v>
      </c>
      <c r="P61" s="35" t="n">
        <f aca="false">IF(A61="","",F61+O61+K61)</f>
        <v>5</v>
      </c>
      <c r="Q61" s="36" t="str">
        <f aca="false">IF(A61="","",IF(P61-L61=M61,"OK","Divergente"))</f>
        <v>OK</v>
      </c>
    </row>
    <row r="62" customFormat="false" ht="15" hidden="false" customHeight="false" outlineLevel="0" collapsed="false">
      <c r="A62" s="17" t="n">
        <v>3291</v>
      </c>
      <c r="B62" s="17" t="s">
        <v>151</v>
      </c>
      <c r="C62" s="17" t="s">
        <v>57</v>
      </c>
      <c r="D62" s="33" t="n">
        <v>45408</v>
      </c>
      <c r="E62" s="17" t="s">
        <v>49</v>
      </c>
      <c r="F62" s="17" t="n">
        <v>15</v>
      </c>
      <c r="G62" s="17" t="s">
        <v>42</v>
      </c>
      <c r="H62" s="17" t="s">
        <v>48</v>
      </c>
      <c r="I62" s="17" t="n">
        <v>30</v>
      </c>
      <c r="J62" s="17" t="s">
        <v>48</v>
      </c>
      <c r="K62" s="17" t="n">
        <v>20</v>
      </c>
      <c r="L62" s="17" t="n">
        <v>5</v>
      </c>
      <c r="M62" s="17" t="n">
        <v>60</v>
      </c>
      <c r="N62" s="34" t="n">
        <f aca="false">IF(D62="","",DATE(YEAR(D62),MONTH(D62),1))</f>
        <v>45383</v>
      </c>
      <c r="O62" s="35" t="n">
        <f aca="false">IF(A62="","",IF(ISNUMBER(I62),I62,0))</f>
        <v>30</v>
      </c>
      <c r="P62" s="35" t="n">
        <f aca="false">IF(A62="","",F62+O62+K62)</f>
        <v>65</v>
      </c>
      <c r="Q62" s="36" t="str">
        <f aca="false">IF(A62="","",IF(P62-L62=M62,"OK","Divergente"))</f>
        <v>OK</v>
      </c>
    </row>
    <row r="63" customFormat="false" ht="15" hidden="false" customHeight="false" outlineLevel="0" collapsed="false">
      <c r="A63" s="17" t="n">
        <v>3292</v>
      </c>
      <c r="B63" s="17" t="s">
        <v>152</v>
      </c>
      <c r="C63" s="17" t="s">
        <v>56</v>
      </c>
      <c r="D63" s="33" t="n">
        <v>45409</v>
      </c>
      <c r="E63" s="17" t="s">
        <v>48</v>
      </c>
      <c r="F63" s="17" t="n">
        <v>10</v>
      </c>
      <c r="G63" s="17" t="s">
        <v>44</v>
      </c>
      <c r="H63" s="17" t="s">
        <v>49</v>
      </c>
      <c r="I63" s="17" t="s">
        <v>92</v>
      </c>
      <c r="J63" s="17" t="s">
        <v>48</v>
      </c>
      <c r="K63" s="17" t="n">
        <v>20</v>
      </c>
      <c r="L63" s="17" t="n">
        <v>15</v>
      </c>
      <c r="M63" s="17" t="n">
        <v>15</v>
      </c>
      <c r="N63" s="34" t="n">
        <f aca="false">IF(D63="","",DATE(YEAR(D63),MONTH(D63),1))</f>
        <v>45383</v>
      </c>
      <c r="O63" s="35" t="n">
        <f aca="false">IF(A63="","",IF(ISNUMBER(I63),I63,0))</f>
        <v>0</v>
      </c>
      <c r="P63" s="35" t="n">
        <f aca="false">IF(A63="","",F63+O63+K63)</f>
        <v>30</v>
      </c>
      <c r="Q63" s="36" t="str">
        <f aca="false">IF(A63="","",IF(P63-L63=M63,"OK","Divergente"))</f>
        <v>OK</v>
      </c>
    </row>
    <row r="64" customFormat="false" ht="15" hidden="false" customHeight="false" outlineLevel="0" collapsed="false">
      <c r="A64" s="17" t="n">
        <v>3293</v>
      </c>
      <c r="B64" s="17" t="s">
        <v>153</v>
      </c>
      <c r="C64" s="17" t="s">
        <v>55</v>
      </c>
      <c r="D64" s="33" t="n">
        <v>45410</v>
      </c>
      <c r="E64" s="17" t="s">
        <v>49</v>
      </c>
      <c r="F64" s="17" t="n">
        <v>5</v>
      </c>
      <c r="G64" s="17" t="s">
        <v>42</v>
      </c>
      <c r="H64" s="17" t="s">
        <v>49</v>
      </c>
      <c r="I64" s="17" t="s">
        <v>92</v>
      </c>
      <c r="J64" s="17" t="s">
        <v>49</v>
      </c>
      <c r="K64" s="17" t="n">
        <v>0</v>
      </c>
      <c r="L64" s="17" t="n">
        <v>1</v>
      </c>
      <c r="M64" s="17" t="n">
        <v>4</v>
      </c>
      <c r="N64" s="34" t="n">
        <f aca="false">IF(D64="","",DATE(YEAR(D64),MONTH(D64),1))</f>
        <v>45383</v>
      </c>
      <c r="O64" s="35" t="n">
        <f aca="false">IF(A64="","",IF(ISNUMBER(I64),I64,0))</f>
        <v>0</v>
      </c>
      <c r="P64" s="35" t="n">
        <f aca="false">IF(A64="","",F64+O64+K64)</f>
        <v>5</v>
      </c>
      <c r="Q64" s="36" t="str">
        <f aca="false">IF(A64="","",IF(P64-L64=M64,"OK","Divergente"))</f>
        <v>OK</v>
      </c>
    </row>
    <row r="65" customFormat="false" ht="15" hidden="false" customHeight="false" outlineLevel="0" collapsed="false">
      <c r="A65" s="17" t="n">
        <v>3294</v>
      </c>
      <c r="B65" s="17" t="s">
        <v>154</v>
      </c>
      <c r="C65" s="17" t="s">
        <v>57</v>
      </c>
      <c r="D65" s="33" t="n">
        <v>45411</v>
      </c>
      <c r="E65" s="17" t="s">
        <v>48</v>
      </c>
      <c r="F65" s="17" t="n">
        <v>15</v>
      </c>
      <c r="G65" s="17" t="s">
        <v>43</v>
      </c>
      <c r="H65" s="17" t="s">
        <v>48</v>
      </c>
      <c r="I65" s="17" t="n">
        <v>30</v>
      </c>
      <c r="J65" s="17" t="s">
        <v>48</v>
      </c>
      <c r="K65" s="17" t="n">
        <v>20</v>
      </c>
      <c r="L65" s="17" t="n">
        <v>20</v>
      </c>
      <c r="M65" s="17" t="n">
        <v>45</v>
      </c>
      <c r="N65" s="34" t="n">
        <f aca="false">IF(D65="","",DATE(YEAR(D65),MONTH(D65),1))</f>
        <v>45383</v>
      </c>
      <c r="O65" s="35" t="n">
        <f aca="false">IF(A65="","",IF(ISNUMBER(I65),I65,0))</f>
        <v>30</v>
      </c>
      <c r="P65" s="35" t="n">
        <f aca="false">IF(A65="","",F65+O65+K65)</f>
        <v>65</v>
      </c>
      <c r="Q65" s="36" t="str">
        <f aca="false">IF(A65="","",IF(P65-L65=M65,"OK","Divergente"))</f>
        <v>OK</v>
      </c>
    </row>
    <row r="66" customFormat="false" ht="15" hidden="false" customHeight="false" outlineLevel="0" collapsed="false">
      <c r="A66" s="17" t="n">
        <v>3295</v>
      </c>
      <c r="B66" s="17" t="s">
        <v>155</v>
      </c>
      <c r="C66" s="17" t="s">
        <v>56</v>
      </c>
      <c r="D66" s="33" t="n">
        <v>45412</v>
      </c>
      <c r="E66" s="17" t="s">
        <v>49</v>
      </c>
      <c r="F66" s="17" t="n">
        <v>10</v>
      </c>
      <c r="G66" s="17" t="s">
        <v>42</v>
      </c>
      <c r="H66" s="17" t="s">
        <v>49</v>
      </c>
      <c r="I66" s="17" t="s">
        <v>92</v>
      </c>
      <c r="J66" s="17" t="s">
        <v>48</v>
      </c>
      <c r="K66" s="17" t="n">
        <v>20</v>
      </c>
      <c r="L66" s="17" t="n">
        <v>5</v>
      </c>
      <c r="M66" s="17" t="n">
        <v>25</v>
      </c>
      <c r="N66" s="34" t="n">
        <f aca="false">IF(D66="","",DATE(YEAR(D66),MONTH(D66),1))</f>
        <v>45383</v>
      </c>
      <c r="O66" s="35" t="n">
        <f aca="false">IF(A66="","",IF(ISNUMBER(I66),I66,0))</f>
        <v>0</v>
      </c>
      <c r="P66" s="35" t="n">
        <f aca="false">IF(A66="","",F66+O66+K66)</f>
        <v>30</v>
      </c>
      <c r="Q66" s="36" t="str">
        <f aca="false">IF(A66="","",IF(P66-L66=M66,"OK","Divergente"))</f>
        <v>OK</v>
      </c>
    </row>
    <row r="67" customFormat="false" ht="15" hidden="false" customHeight="false" outlineLevel="0" collapsed="false">
      <c r="A67" s="17" t="n">
        <v>3296</v>
      </c>
      <c r="B67" s="17" t="s">
        <v>156</v>
      </c>
      <c r="C67" s="17" t="s">
        <v>55</v>
      </c>
      <c r="D67" s="33" t="n">
        <v>45413</v>
      </c>
      <c r="E67" s="17" t="s">
        <v>49</v>
      </c>
      <c r="F67" s="17" t="n">
        <v>5</v>
      </c>
      <c r="G67" s="17" t="s">
        <v>42</v>
      </c>
      <c r="H67" s="17" t="s">
        <v>49</v>
      </c>
      <c r="I67" s="17" t="s">
        <v>92</v>
      </c>
      <c r="J67" s="17" t="s">
        <v>49</v>
      </c>
      <c r="K67" s="17" t="n">
        <v>0</v>
      </c>
      <c r="L67" s="17" t="n">
        <v>0</v>
      </c>
      <c r="M67" s="17" t="n">
        <v>5</v>
      </c>
      <c r="N67" s="34" t="n">
        <f aca="false">IF(D67="","",DATE(YEAR(D67),MONTH(D67),1))</f>
        <v>45413</v>
      </c>
      <c r="O67" s="35" t="n">
        <f aca="false">IF(A67="","",IF(ISNUMBER(I67),I67,0))</f>
        <v>0</v>
      </c>
      <c r="P67" s="35" t="n">
        <f aca="false">IF(A67="","",F67+O67+K67)</f>
        <v>5</v>
      </c>
      <c r="Q67" s="36" t="str">
        <f aca="false">IF(A67="","",IF(P67-L67=M67,"OK","Divergente"))</f>
        <v>OK</v>
      </c>
    </row>
    <row r="68" customFormat="false" ht="15" hidden="false" customHeight="false" outlineLevel="0" collapsed="false">
      <c r="A68" s="17" t="n">
        <v>3297</v>
      </c>
      <c r="B68" s="17" t="s">
        <v>157</v>
      </c>
      <c r="C68" s="17" t="s">
        <v>57</v>
      </c>
      <c r="D68" s="33" t="n">
        <v>45414</v>
      </c>
      <c r="E68" s="17" t="s">
        <v>48</v>
      </c>
      <c r="F68" s="17" t="n">
        <v>15</v>
      </c>
      <c r="G68" s="17" t="s">
        <v>43</v>
      </c>
      <c r="H68" s="17" t="s">
        <v>48</v>
      </c>
      <c r="I68" s="17" t="n">
        <v>30</v>
      </c>
      <c r="J68" s="17" t="s">
        <v>48</v>
      </c>
      <c r="K68" s="17" t="n">
        <v>20</v>
      </c>
      <c r="L68" s="17" t="n">
        <v>7</v>
      </c>
      <c r="M68" s="17" t="n">
        <v>58</v>
      </c>
      <c r="N68" s="34" t="n">
        <f aca="false">IF(D68="","",DATE(YEAR(D68),MONTH(D68),1))</f>
        <v>45413</v>
      </c>
      <c r="O68" s="35" t="n">
        <f aca="false">IF(A68="","",IF(ISNUMBER(I68),I68,0))</f>
        <v>30</v>
      </c>
      <c r="P68" s="35" t="n">
        <f aca="false">IF(A68="","",F68+O68+K68)</f>
        <v>65</v>
      </c>
      <c r="Q68" s="36" t="str">
        <f aca="false">IF(A68="","",IF(P68-L68=M68,"OK","Divergente"))</f>
        <v>OK</v>
      </c>
    </row>
    <row r="69" customFormat="false" ht="15" hidden="false" customHeight="false" outlineLevel="0" collapsed="false">
      <c r="A69" s="17" t="n">
        <v>3298</v>
      </c>
      <c r="B69" s="17" t="s">
        <v>158</v>
      </c>
      <c r="C69" s="17" t="s">
        <v>56</v>
      </c>
      <c r="D69" s="33" t="n">
        <v>45415</v>
      </c>
      <c r="E69" s="17" t="s">
        <v>49</v>
      </c>
      <c r="F69" s="17" t="n">
        <v>10</v>
      </c>
      <c r="G69" s="17" t="s">
        <v>44</v>
      </c>
      <c r="H69" s="17" t="s">
        <v>49</v>
      </c>
      <c r="I69" s="17" t="s">
        <v>92</v>
      </c>
      <c r="J69" s="17" t="s">
        <v>48</v>
      </c>
      <c r="K69" s="17" t="n">
        <v>20</v>
      </c>
      <c r="L69" s="17" t="n">
        <v>10</v>
      </c>
      <c r="M69" s="17" t="n">
        <v>20</v>
      </c>
      <c r="N69" s="34" t="n">
        <f aca="false">IF(D69="","",DATE(YEAR(D69),MONTH(D69),1))</f>
        <v>45413</v>
      </c>
      <c r="O69" s="35" t="n">
        <f aca="false">IF(A69="","",IF(ISNUMBER(I69),I69,0))</f>
        <v>0</v>
      </c>
      <c r="P69" s="35" t="n">
        <f aca="false">IF(A69="","",F69+O69+K69)</f>
        <v>30</v>
      </c>
      <c r="Q69" s="36" t="str">
        <f aca="false">IF(A69="","",IF(P69-L69=M69,"OK","Divergente"))</f>
        <v>OK</v>
      </c>
    </row>
    <row r="70" customFormat="false" ht="15" hidden="false" customHeight="false" outlineLevel="0" collapsed="false">
      <c r="A70" s="17" t="n">
        <v>3299</v>
      </c>
      <c r="B70" s="17" t="s">
        <v>159</v>
      </c>
      <c r="C70" s="17" t="s">
        <v>55</v>
      </c>
      <c r="D70" s="33" t="n">
        <v>45416</v>
      </c>
      <c r="E70" s="17" t="s">
        <v>48</v>
      </c>
      <c r="F70" s="17" t="n">
        <v>5</v>
      </c>
      <c r="G70" s="17" t="s">
        <v>43</v>
      </c>
      <c r="H70" s="17" t="s">
        <v>49</v>
      </c>
      <c r="I70" s="17" t="s">
        <v>92</v>
      </c>
      <c r="J70" s="17" t="s">
        <v>49</v>
      </c>
      <c r="K70" s="17" t="n">
        <v>0</v>
      </c>
      <c r="L70" s="17" t="n">
        <v>1</v>
      </c>
      <c r="M70" s="17" t="n">
        <v>4</v>
      </c>
      <c r="N70" s="34" t="n">
        <f aca="false">IF(D70="","",DATE(YEAR(D70),MONTH(D70),1))</f>
        <v>45413</v>
      </c>
      <c r="O70" s="35" t="n">
        <f aca="false">IF(A70="","",IF(ISNUMBER(I70),I70,0))</f>
        <v>0</v>
      </c>
      <c r="P70" s="35" t="n">
        <f aca="false">IF(A70="","",F70+O70+K70)</f>
        <v>5</v>
      </c>
      <c r="Q70" s="36" t="str">
        <f aca="false">IF(A70="","",IF(P70-L70=M70,"OK","Divergente"))</f>
        <v>OK</v>
      </c>
    </row>
    <row r="71" customFormat="false" ht="15" hidden="false" customHeight="false" outlineLevel="0" collapsed="false">
      <c r="A71" s="17" t="n">
        <v>3300</v>
      </c>
      <c r="B71" s="17" t="s">
        <v>160</v>
      </c>
      <c r="C71" s="17" t="s">
        <v>57</v>
      </c>
      <c r="D71" s="33" t="n">
        <v>45417</v>
      </c>
      <c r="E71" s="17" t="s">
        <v>49</v>
      </c>
      <c r="F71" s="17" t="n">
        <v>15</v>
      </c>
      <c r="G71" s="17" t="s">
        <v>42</v>
      </c>
      <c r="H71" s="17" t="s">
        <v>48</v>
      </c>
      <c r="I71" s="17" t="n">
        <v>30</v>
      </c>
      <c r="J71" s="17" t="s">
        <v>48</v>
      </c>
      <c r="K71" s="17" t="n">
        <v>20</v>
      </c>
      <c r="L71" s="17" t="n">
        <v>15</v>
      </c>
      <c r="M71" s="17" t="n">
        <v>50</v>
      </c>
      <c r="N71" s="34" t="n">
        <f aca="false">IF(D71="","",DATE(YEAR(D71),MONTH(D71),1))</f>
        <v>45413</v>
      </c>
      <c r="O71" s="35" t="n">
        <f aca="false">IF(A71="","",IF(ISNUMBER(I71),I71,0))</f>
        <v>30</v>
      </c>
      <c r="P71" s="35" t="n">
        <f aca="false">IF(A71="","",F71+O71+K71)</f>
        <v>65</v>
      </c>
      <c r="Q71" s="36" t="str">
        <f aca="false">IF(A71="","",IF(P71-L71=M71,"OK","Divergente"))</f>
        <v>OK</v>
      </c>
    </row>
    <row r="72" customFormat="false" ht="15" hidden="false" customHeight="false" outlineLevel="0" collapsed="false">
      <c r="A72" s="17" t="n">
        <v>3301</v>
      </c>
      <c r="B72" s="17" t="s">
        <v>161</v>
      </c>
      <c r="C72" s="17" t="s">
        <v>56</v>
      </c>
      <c r="D72" s="33" t="n">
        <v>45418</v>
      </c>
      <c r="E72" s="17" t="s">
        <v>48</v>
      </c>
      <c r="F72" s="17" t="n">
        <v>10</v>
      </c>
      <c r="G72" s="17" t="s">
        <v>42</v>
      </c>
      <c r="H72" s="17" t="s">
        <v>49</v>
      </c>
      <c r="I72" s="17" t="s">
        <v>92</v>
      </c>
      <c r="J72" s="17" t="s">
        <v>48</v>
      </c>
      <c r="K72" s="17" t="n">
        <v>20</v>
      </c>
      <c r="L72" s="17" t="n">
        <v>5</v>
      </c>
      <c r="M72" s="17" t="n">
        <v>25</v>
      </c>
      <c r="N72" s="34" t="n">
        <f aca="false">IF(D72="","",DATE(YEAR(D72),MONTH(D72),1))</f>
        <v>45413</v>
      </c>
      <c r="O72" s="35" t="n">
        <f aca="false">IF(A72="","",IF(ISNUMBER(I72),I72,0))</f>
        <v>0</v>
      </c>
      <c r="P72" s="35" t="n">
        <f aca="false">IF(A72="","",F72+O72+K72)</f>
        <v>30</v>
      </c>
      <c r="Q72" s="36" t="str">
        <f aca="false">IF(A72="","",IF(P72-L72=M72,"OK","Divergente"))</f>
        <v>OK</v>
      </c>
    </row>
    <row r="73" customFormat="false" ht="15" hidden="false" customHeight="false" outlineLevel="0" collapsed="false">
      <c r="A73" s="17" t="n">
        <v>3302</v>
      </c>
      <c r="B73" s="17" t="s">
        <v>162</v>
      </c>
      <c r="C73" s="17" t="s">
        <v>55</v>
      </c>
      <c r="D73" s="33" t="n">
        <v>45419</v>
      </c>
      <c r="E73" s="17" t="s">
        <v>49</v>
      </c>
      <c r="F73" s="17" t="n">
        <v>5</v>
      </c>
      <c r="G73" s="17" t="s">
        <v>44</v>
      </c>
      <c r="H73" s="17" t="s">
        <v>49</v>
      </c>
      <c r="I73" s="17" t="s">
        <v>92</v>
      </c>
      <c r="J73" s="17" t="s">
        <v>49</v>
      </c>
      <c r="K73" s="17" t="n">
        <v>0</v>
      </c>
      <c r="L73" s="17" t="n">
        <v>0</v>
      </c>
      <c r="M73" s="17" t="n">
        <v>5</v>
      </c>
      <c r="N73" s="34" t="n">
        <f aca="false">IF(D73="","",DATE(YEAR(D73),MONTH(D73),1))</f>
        <v>45413</v>
      </c>
      <c r="O73" s="35" t="n">
        <f aca="false">IF(A73="","",IF(ISNUMBER(I73),I73,0))</f>
        <v>0</v>
      </c>
      <c r="P73" s="35" t="n">
        <f aca="false">IF(A73="","",F73+O73+K73)</f>
        <v>5</v>
      </c>
      <c r="Q73" s="36" t="str">
        <f aca="false">IF(A73="","",IF(P73-L73=M73,"OK","Divergente"))</f>
        <v>OK</v>
      </c>
    </row>
    <row r="74" customFormat="false" ht="15" hidden="false" customHeight="false" outlineLevel="0" collapsed="false">
      <c r="A74" s="17" t="n">
        <v>3303</v>
      </c>
      <c r="B74" s="17" t="s">
        <v>163</v>
      </c>
      <c r="C74" s="17" t="s">
        <v>57</v>
      </c>
      <c r="D74" s="33" t="n">
        <v>45420</v>
      </c>
      <c r="E74" s="17" t="s">
        <v>48</v>
      </c>
      <c r="F74" s="17" t="n">
        <v>15</v>
      </c>
      <c r="G74" s="17" t="s">
        <v>43</v>
      </c>
      <c r="H74" s="17" t="s">
        <v>48</v>
      </c>
      <c r="I74" s="17" t="n">
        <v>30</v>
      </c>
      <c r="J74" s="17" t="s">
        <v>48</v>
      </c>
      <c r="K74" s="17" t="n">
        <v>20</v>
      </c>
      <c r="L74" s="17" t="n">
        <v>20</v>
      </c>
      <c r="M74" s="17" t="n">
        <v>45</v>
      </c>
      <c r="N74" s="34" t="n">
        <f aca="false">IF(D74="","",DATE(YEAR(D74),MONTH(D74),1))</f>
        <v>45413</v>
      </c>
      <c r="O74" s="35" t="n">
        <f aca="false">IF(A74="","",IF(ISNUMBER(I74),I74,0))</f>
        <v>30</v>
      </c>
      <c r="P74" s="35" t="n">
        <f aca="false">IF(A74="","",F74+O74+K74)</f>
        <v>65</v>
      </c>
      <c r="Q74" s="36" t="str">
        <f aca="false">IF(A74="","",IF(P74-L74=M74,"OK","Divergente"))</f>
        <v>OK</v>
      </c>
    </row>
    <row r="75" customFormat="false" ht="15" hidden="false" customHeight="false" outlineLevel="0" collapsed="false">
      <c r="A75" s="17" t="n">
        <v>3304</v>
      </c>
      <c r="B75" s="17" t="s">
        <v>164</v>
      </c>
      <c r="C75" s="17" t="s">
        <v>56</v>
      </c>
      <c r="D75" s="33" t="n">
        <v>45421</v>
      </c>
      <c r="E75" s="17" t="s">
        <v>49</v>
      </c>
      <c r="F75" s="17" t="n">
        <v>10</v>
      </c>
      <c r="G75" s="17" t="s">
        <v>43</v>
      </c>
      <c r="H75" s="17" t="s">
        <v>49</v>
      </c>
      <c r="I75" s="17" t="s">
        <v>92</v>
      </c>
      <c r="J75" s="17" t="s">
        <v>48</v>
      </c>
      <c r="K75" s="17" t="n">
        <v>20</v>
      </c>
      <c r="L75" s="17" t="n">
        <v>12</v>
      </c>
      <c r="M75" s="17" t="n">
        <v>18</v>
      </c>
      <c r="N75" s="34" t="n">
        <f aca="false">IF(D75="","",DATE(YEAR(D75),MONTH(D75),1))</f>
        <v>45413</v>
      </c>
      <c r="O75" s="35" t="n">
        <f aca="false">IF(A75="","",IF(ISNUMBER(I75),I75,0))</f>
        <v>0</v>
      </c>
      <c r="P75" s="35" t="n">
        <f aca="false">IF(A75="","",F75+O75+K75)</f>
        <v>30</v>
      </c>
      <c r="Q75" s="36" t="str">
        <f aca="false">IF(A75="","",IF(P75-L75=M75,"OK","Divergente"))</f>
        <v>OK</v>
      </c>
    </row>
    <row r="76" customFormat="false" ht="15" hidden="false" customHeight="false" outlineLevel="0" collapsed="false">
      <c r="A76" s="17" t="n">
        <v>3305</v>
      </c>
      <c r="B76" s="17" t="s">
        <v>165</v>
      </c>
      <c r="C76" s="17" t="s">
        <v>55</v>
      </c>
      <c r="D76" s="33" t="n">
        <v>45422</v>
      </c>
      <c r="E76" s="17" t="s">
        <v>48</v>
      </c>
      <c r="F76" s="17" t="n">
        <v>5</v>
      </c>
      <c r="G76" s="17" t="s">
        <v>42</v>
      </c>
      <c r="H76" s="17" t="s">
        <v>49</v>
      </c>
      <c r="I76" s="17" t="s">
        <v>92</v>
      </c>
      <c r="J76" s="17" t="s">
        <v>49</v>
      </c>
      <c r="K76" s="17" t="n">
        <v>0</v>
      </c>
      <c r="L76" s="17" t="n">
        <v>2</v>
      </c>
      <c r="M76" s="17" t="n">
        <v>3</v>
      </c>
      <c r="N76" s="34" t="n">
        <f aca="false">IF(D76="","",DATE(YEAR(D76),MONTH(D76),1))</f>
        <v>45413</v>
      </c>
      <c r="O76" s="35" t="n">
        <f aca="false">IF(A76="","",IF(ISNUMBER(I76),I76,0))</f>
        <v>0</v>
      </c>
      <c r="P76" s="35" t="n">
        <f aca="false">IF(A76="","",F76+O76+K76)</f>
        <v>5</v>
      </c>
      <c r="Q76" s="36" t="str">
        <f aca="false">IF(A76="","",IF(P76-L76=M76,"OK","Divergente"))</f>
        <v>OK</v>
      </c>
    </row>
    <row r="77" customFormat="false" ht="15" hidden="false" customHeight="false" outlineLevel="0" collapsed="false">
      <c r="A77" s="17" t="n">
        <v>3306</v>
      </c>
      <c r="B77" s="17" t="s">
        <v>166</v>
      </c>
      <c r="C77" s="17" t="s">
        <v>57</v>
      </c>
      <c r="D77" s="33" t="n">
        <v>45423</v>
      </c>
      <c r="E77" s="17" t="s">
        <v>49</v>
      </c>
      <c r="F77" s="17" t="n">
        <v>15</v>
      </c>
      <c r="G77" s="17" t="s">
        <v>44</v>
      </c>
      <c r="H77" s="17" t="s">
        <v>48</v>
      </c>
      <c r="I77" s="17" t="n">
        <v>30</v>
      </c>
      <c r="J77" s="17" t="s">
        <v>48</v>
      </c>
      <c r="K77" s="17" t="n">
        <v>20</v>
      </c>
      <c r="L77" s="17" t="n">
        <v>5</v>
      </c>
      <c r="M77" s="17" t="n">
        <v>60</v>
      </c>
      <c r="N77" s="34" t="n">
        <f aca="false">IF(D77="","",DATE(YEAR(D77),MONTH(D77),1))</f>
        <v>45413</v>
      </c>
      <c r="O77" s="35" t="n">
        <f aca="false">IF(A77="","",IF(ISNUMBER(I77),I77,0))</f>
        <v>30</v>
      </c>
      <c r="P77" s="35" t="n">
        <f aca="false">IF(A77="","",F77+O77+K77)</f>
        <v>65</v>
      </c>
      <c r="Q77" s="36" t="str">
        <f aca="false">IF(A77="","",IF(P77-L77=M77,"OK","Divergente"))</f>
        <v>OK</v>
      </c>
    </row>
    <row r="78" customFormat="false" ht="15" hidden="false" customHeight="false" outlineLevel="0" collapsed="false">
      <c r="A78" s="17" t="n">
        <v>3307</v>
      </c>
      <c r="B78" s="17" t="s">
        <v>167</v>
      </c>
      <c r="C78" s="17" t="s">
        <v>56</v>
      </c>
      <c r="D78" s="33" t="n">
        <v>45424</v>
      </c>
      <c r="E78" s="17" t="s">
        <v>48</v>
      </c>
      <c r="F78" s="17" t="n">
        <v>10</v>
      </c>
      <c r="G78" s="17" t="s">
        <v>42</v>
      </c>
      <c r="H78" s="17" t="s">
        <v>49</v>
      </c>
      <c r="I78" s="17" t="s">
        <v>92</v>
      </c>
      <c r="J78" s="17" t="s">
        <v>48</v>
      </c>
      <c r="K78" s="17" t="n">
        <v>20</v>
      </c>
      <c r="L78" s="17" t="n">
        <v>10</v>
      </c>
      <c r="M78" s="17" t="n">
        <v>20</v>
      </c>
      <c r="N78" s="34" t="n">
        <f aca="false">IF(D78="","",DATE(YEAR(D78),MONTH(D78),1))</f>
        <v>45413</v>
      </c>
      <c r="O78" s="35" t="n">
        <f aca="false">IF(A78="","",IF(ISNUMBER(I78),I78,0))</f>
        <v>0</v>
      </c>
      <c r="P78" s="35" t="n">
        <f aca="false">IF(A78="","",F78+O78+K78)</f>
        <v>30</v>
      </c>
      <c r="Q78" s="36" t="str">
        <f aca="false">IF(A78="","",IF(P78-L78=M78,"OK","Divergente"))</f>
        <v>OK</v>
      </c>
    </row>
    <row r="79" customFormat="false" ht="15" hidden="false" customHeight="false" outlineLevel="0" collapsed="false">
      <c r="A79" s="17" t="n">
        <v>3308</v>
      </c>
      <c r="B79" s="17" t="s">
        <v>168</v>
      </c>
      <c r="C79" s="17" t="s">
        <v>55</v>
      </c>
      <c r="D79" s="33" t="n">
        <v>45425</v>
      </c>
      <c r="E79" s="17" t="s">
        <v>49</v>
      </c>
      <c r="F79" s="17" t="n">
        <v>5</v>
      </c>
      <c r="G79" s="17" t="s">
        <v>43</v>
      </c>
      <c r="H79" s="17" t="s">
        <v>49</v>
      </c>
      <c r="I79" s="17" t="s">
        <v>92</v>
      </c>
      <c r="J79" s="17" t="s">
        <v>49</v>
      </c>
      <c r="K79" s="17" t="n">
        <v>0</v>
      </c>
      <c r="L79" s="17" t="n">
        <v>0</v>
      </c>
      <c r="M79" s="17" t="n">
        <v>5</v>
      </c>
      <c r="N79" s="34" t="n">
        <f aca="false">IF(D79="","",DATE(YEAR(D79),MONTH(D79),1))</f>
        <v>45413</v>
      </c>
      <c r="O79" s="35" t="n">
        <f aca="false">IF(A79="","",IF(ISNUMBER(I79),I79,0))</f>
        <v>0</v>
      </c>
      <c r="P79" s="35" t="n">
        <f aca="false">IF(A79="","",F79+O79+K79)</f>
        <v>5</v>
      </c>
      <c r="Q79" s="36" t="str">
        <f aca="false">IF(A79="","",IF(P79-L79=M79,"OK","Divergente"))</f>
        <v>OK</v>
      </c>
    </row>
    <row r="80" customFormat="false" ht="15" hidden="false" customHeight="false" outlineLevel="0" collapsed="false">
      <c r="A80" s="17" t="n">
        <v>3309</v>
      </c>
      <c r="B80" s="17" t="s">
        <v>169</v>
      </c>
      <c r="C80" s="17" t="s">
        <v>57</v>
      </c>
      <c r="D80" s="33" t="n">
        <v>45426</v>
      </c>
      <c r="E80" s="17" t="s">
        <v>48</v>
      </c>
      <c r="F80" s="17" t="n">
        <v>15</v>
      </c>
      <c r="G80" s="17" t="s">
        <v>42</v>
      </c>
      <c r="H80" s="17" t="s">
        <v>48</v>
      </c>
      <c r="I80" s="17" t="n">
        <v>30</v>
      </c>
      <c r="J80" s="17" t="s">
        <v>48</v>
      </c>
      <c r="K80" s="17" t="n">
        <v>20</v>
      </c>
      <c r="L80" s="17" t="n">
        <v>3</v>
      </c>
      <c r="M80" s="17" t="n">
        <v>62</v>
      </c>
      <c r="N80" s="34" t="n">
        <f aca="false">IF(D80="","",DATE(YEAR(D80),MONTH(D80),1))</f>
        <v>45413</v>
      </c>
      <c r="O80" s="35" t="n">
        <f aca="false">IF(A80="","",IF(ISNUMBER(I80),I80,0))</f>
        <v>30</v>
      </c>
      <c r="P80" s="35" t="n">
        <f aca="false">IF(A80="","",F80+O80+K80)</f>
        <v>65</v>
      </c>
      <c r="Q80" s="36" t="str">
        <f aca="false">IF(A80="","",IF(P80-L80=M80,"OK","Divergente"))</f>
        <v>OK</v>
      </c>
    </row>
    <row r="81" customFormat="false" ht="15" hidden="false" customHeight="false" outlineLevel="0" collapsed="false">
      <c r="A81" s="17" t="n">
        <v>3310</v>
      </c>
      <c r="B81" s="17" t="s">
        <v>170</v>
      </c>
      <c r="C81" s="17" t="s">
        <v>56</v>
      </c>
      <c r="D81" s="33" t="n">
        <v>45427</v>
      </c>
      <c r="E81" s="17" t="s">
        <v>49</v>
      </c>
      <c r="F81" s="17" t="n">
        <v>10</v>
      </c>
      <c r="G81" s="17" t="s">
        <v>44</v>
      </c>
      <c r="H81" s="17" t="s">
        <v>49</v>
      </c>
      <c r="I81" s="17" t="s">
        <v>92</v>
      </c>
      <c r="J81" s="17" t="s">
        <v>48</v>
      </c>
      <c r="K81" s="17" t="n">
        <v>20</v>
      </c>
      <c r="L81" s="17" t="n">
        <v>15</v>
      </c>
      <c r="M81" s="17" t="n">
        <v>15</v>
      </c>
      <c r="N81" s="34" t="n">
        <f aca="false">IF(D81="","",DATE(YEAR(D81),MONTH(D81),1))</f>
        <v>45413</v>
      </c>
      <c r="O81" s="35" t="n">
        <f aca="false">IF(A81="","",IF(ISNUMBER(I81),I81,0))</f>
        <v>0</v>
      </c>
      <c r="P81" s="35" t="n">
        <f aca="false">IF(A81="","",F81+O81+K81)</f>
        <v>30</v>
      </c>
      <c r="Q81" s="36" t="str">
        <f aca="false">IF(A81="","",IF(P81-L81=M81,"OK","Divergente"))</f>
        <v>OK</v>
      </c>
    </row>
    <row r="82" customFormat="false" ht="15" hidden="false" customHeight="false" outlineLevel="0" collapsed="false">
      <c r="A82" s="17" t="n">
        <v>3311</v>
      </c>
      <c r="B82" s="17" t="s">
        <v>171</v>
      </c>
      <c r="C82" s="17" t="s">
        <v>55</v>
      </c>
      <c r="D82" s="33" t="n">
        <v>45428</v>
      </c>
      <c r="E82" s="17" t="s">
        <v>48</v>
      </c>
      <c r="F82" s="17" t="n">
        <v>5</v>
      </c>
      <c r="G82" s="17" t="s">
        <v>42</v>
      </c>
      <c r="H82" s="17" t="s">
        <v>49</v>
      </c>
      <c r="I82" s="17" t="s">
        <v>92</v>
      </c>
      <c r="J82" s="17" t="s">
        <v>49</v>
      </c>
      <c r="K82" s="17" t="n">
        <v>0</v>
      </c>
      <c r="L82" s="17" t="n">
        <v>1</v>
      </c>
      <c r="M82" s="17" t="n">
        <v>4</v>
      </c>
      <c r="N82" s="34" t="n">
        <f aca="false">IF(D82="","",DATE(YEAR(D82),MONTH(D82),1))</f>
        <v>45413</v>
      </c>
      <c r="O82" s="35" t="n">
        <f aca="false">IF(A82="","",IF(ISNUMBER(I82),I82,0))</f>
        <v>0</v>
      </c>
      <c r="P82" s="35" t="n">
        <f aca="false">IF(A82="","",F82+O82+K82)</f>
        <v>5</v>
      </c>
      <c r="Q82" s="36" t="str">
        <f aca="false">IF(A82="","",IF(P82-L82=M82,"OK","Divergente"))</f>
        <v>OK</v>
      </c>
    </row>
    <row r="83" customFormat="false" ht="15" hidden="false" customHeight="false" outlineLevel="0" collapsed="false">
      <c r="A83" s="17" t="n">
        <v>3312</v>
      </c>
      <c r="B83" s="17" t="s">
        <v>172</v>
      </c>
      <c r="C83" s="17" t="s">
        <v>57</v>
      </c>
      <c r="D83" s="33" t="n">
        <v>45429</v>
      </c>
      <c r="E83" s="17" t="s">
        <v>49</v>
      </c>
      <c r="F83" s="17" t="n">
        <v>15</v>
      </c>
      <c r="G83" s="17" t="s">
        <v>43</v>
      </c>
      <c r="H83" s="17" t="s">
        <v>48</v>
      </c>
      <c r="I83" s="17" t="n">
        <v>30</v>
      </c>
      <c r="J83" s="17" t="s">
        <v>48</v>
      </c>
      <c r="K83" s="17" t="n">
        <v>20</v>
      </c>
      <c r="L83" s="17" t="n">
        <v>7</v>
      </c>
      <c r="M83" s="17" t="n">
        <v>58</v>
      </c>
      <c r="N83" s="34" t="n">
        <f aca="false">IF(D83="","",DATE(YEAR(D83),MONTH(D83),1))</f>
        <v>45413</v>
      </c>
      <c r="O83" s="35" t="n">
        <f aca="false">IF(A83="","",IF(ISNUMBER(I83),I83,0))</f>
        <v>30</v>
      </c>
      <c r="P83" s="35" t="n">
        <f aca="false">IF(A83="","",F83+O83+K83)</f>
        <v>65</v>
      </c>
      <c r="Q83" s="36" t="str">
        <f aca="false">IF(A83="","",IF(P83-L83=M83,"OK","Divergente"))</f>
        <v>OK</v>
      </c>
    </row>
    <row r="84" customFormat="false" ht="15" hidden="false" customHeight="false" outlineLevel="0" collapsed="false">
      <c r="A84" s="17" t="n">
        <v>3313</v>
      </c>
      <c r="B84" s="17" t="s">
        <v>173</v>
      </c>
      <c r="C84" s="17" t="s">
        <v>56</v>
      </c>
      <c r="D84" s="33" t="n">
        <v>45430</v>
      </c>
      <c r="E84" s="17" t="s">
        <v>48</v>
      </c>
      <c r="F84" s="17" t="n">
        <v>10</v>
      </c>
      <c r="G84" s="17" t="s">
        <v>42</v>
      </c>
      <c r="H84" s="17" t="s">
        <v>49</v>
      </c>
      <c r="I84" s="17" t="s">
        <v>92</v>
      </c>
      <c r="J84" s="17" t="s">
        <v>48</v>
      </c>
      <c r="K84" s="17" t="n">
        <v>20</v>
      </c>
      <c r="L84" s="17" t="n">
        <v>10</v>
      </c>
      <c r="M84" s="17" t="n">
        <v>20</v>
      </c>
      <c r="N84" s="34" t="n">
        <f aca="false">IF(D84="","",DATE(YEAR(D84),MONTH(D84),1))</f>
        <v>45413</v>
      </c>
      <c r="O84" s="35" t="n">
        <f aca="false">IF(A84="","",IF(ISNUMBER(I84),I84,0))</f>
        <v>0</v>
      </c>
      <c r="P84" s="35" t="n">
        <f aca="false">IF(A84="","",F84+O84+K84)</f>
        <v>30</v>
      </c>
      <c r="Q84" s="36" t="str">
        <f aca="false">IF(A84="","",IF(P84-L84=M84,"OK","Divergente"))</f>
        <v>OK</v>
      </c>
    </row>
    <row r="85" customFormat="false" ht="15" hidden="false" customHeight="false" outlineLevel="0" collapsed="false">
      <c r="A85" s="17" t="n">
        <v>3314</v>
      </c>
      <c r="B85" s="17" t="s">
        <v>174</v>
      </c>
      <c r="C85" s="17" t="s">
        <v>55</v>
      </c>
      <c r="D85" s="33" t="n">
        <v>45431</v>
      </c>
      <c r="E85" s="17" t="s">
        <v>49</v>
      </c>
      <c r="F85" s="17" t="n">
        <v>5</v>
      </c>
      <c r="G85" s="17" t="s">
        <v>44</v>
      </c>
      <c r="H85" s="17" t="s">
        <v>49</v>
      </c>
      <c r="I85" s="17" t="s">
        <v>92</v>
      </c>
      <c r="J85" s="17" t="s">
        <v>49</v>
      </c>
      <c r="K85" s="17" t="n">
        <v>0</v>
      </c>
      <c r="L85" s="17" t="n">
        <v>0</v>
      </c>
      <c r="M85" s="17" t="n">
        <v>5</v>
      </c>
      <c r="N85" s="34" t="n">
        <f aca="false">IF(D85="","",DATE(YEAR(D85),MONTH(D85),1))</f>
        <v>45413</v>
      </c>
      <c r="O85" s="35" t="n">
        <f aca="false">IF(A85="","",IF(ISNUMBER(I85),I85,0))</f>
        <v>0</v>
      </c>
      <c r="P85" s="35" t="n">
        <f aca="false">IF(A85="","",F85+O85+K85)</f>
        <v>5</v>
      </c>
      <c r="Q85" s="36" t="str">
        <f aca="false">IF(A85="","",IF(P85-L85=M85,"OK","Divergente"))</f>
        <v>OK</v>
      </c>
    </row>
    <row r="86" customFormat="false" ht="15" hidden="false" customHeight="false" outlineLevel="0" collapsed="false">
      <c r="A86" s="17" t="n">
        <v>3315</v>
      </c>
      <c r="B86" s="17" t="s">
        <v>175</v>
      </c>
      <c r="C86" s="17" t="s">
        <v>57</v>
      </c>
      <c r="D86" s="33" t="n">
        <v>45432</v>
      </c>
      <c r="E86" s="17" t="s">
        <v>48</v>
      </c>
      <c r="F86" s="17" t="n">
        <v>15</v>
      </c>
      <c r="G86" s="17" t="s">
        <v>42</v>
      </c>
      <c r="H86" s="17" t="s">
        <v>48</v>
      </c>
      <c r="I86" s="17" t="n">
        <v>30</v>
      </c>
      <c r="J86" s="17" t="s">
        <v>48</v>
      </c>
      <c r="K86" s="17" t="n">
        <v>20</v>
      </c>
      <c r="L86" s="17" t="n">
        <v>20</v>
      </c>
      <c r="M86" s="17" t="n">
        <v>45</v>
      </c>
      <c r="N86" s="34" t="n">
        <f aca="false">IF(D86="","",DATE(YEAR(D86),MONTH(D86),1))</f>
        <v>45413</v>
      </c>
      <c r="O86" s="35" t="n">
        <f aca="false">IF(A86="","",IF(ISNUMBER(I86),I86,0))</f>
        <v>30</v>
      </c>
      <c r="P86" s="35" t="n">
        <f aca="false">IF(A86="","",F86+O86+K86)</f>
        <v>65</v>
      </c>
      <c r="Q86" s="36" t="str">
        <f aca="false">IF(A86="","",IF(P86-L86=M86,"OK","Divergente"))</f>
        <v>OK</v>
      </c>
    </row>
    <row r="87" customFormat="false" ht="15" hidden="false" customHeight="false" outlineLevel="0" collapsed="false">
      <c r="A87" s="17" t="n">
        <v>3316</v>
      </c>
      <c r="B87" s="17" t="s">
        <v>176</v>
      </c>
      <c r="C87" s="17" t="s">
        <v>56</v>
      </c>
      <c r="D87" s="33" t="n">
        <v>45433</v>
      </c>
      <c r="E87" s="17" t="s">
        <v>49</v>
      </c>
      <c r="F87" s="17" t="n">
        <v>10</v>
      </c>
      <c r="G87" s="17" t="s">
        <v>43</v>
      </c>
      <c r="H87" s="17" t="s">
        <v>49</v>
      </c>
      <c r="I87" s="17" t="s">
        <v>92</v>
      </c>
      <c r="J87" s="17" t="s">
        <v>48</v>
      </c>
      <c r="K87" s="17" t="n">
        <v>20</v>
      </c>
      <c r="L87" s="17" t="n">
        <v>15</v>
      </c>
      <c r="M87" s="17" t="n">
        <v>15</v>
      </c>
      <c r="N87" s="34" t="n">
        <f aca="false">IF(D87="","",DATE(YEAR(D87),MONTH(D87),1))</f>
        <v>45413</v>
      </c>
      <c r="O87" s="35" t="n">
        <f aca="false">IF(A87="","",IF(ISNUMBER(I87),I87,0))</f>
        <v>0</v>
      </c>
      <c r="P87" s="35" t="n">
        <f aca="false">IF(A87="","",F87+O87+K87)</f>
        <v>30</v>
      </c>
      <c r="Q87" s="36" t="str">
        <f aca="false">IF(A87="","",IF(P87-L87=M87,"OK","Divergente"))</f>
        <v>OK</v>
      </c>
    </row>
    <row r="88" customFormat="false" ht="15" hidden="false" customHeight="false" outlineLevel="0" collapsed="false">
      <c r="A88" s="17" t="n">
        <v>3317</v>
      </c>
      <c r="B88" s="17" t="s">
        <v>177</v>
      </c>
      <c r="C88" s="17" t="s">
        <v>55</v>
      </c>
      <c r="D88" s="33" t="n">
        <v>45434</v>
      </c>
      <c r="E88" s="17" t="s">
        <v>48</v>
      </c>
      <c r="F88" s="17" t="n">
        <v>5</v>
      </c>
      <c r="G88" s="17" t="s">
        <v>42</v>
      </c>
      <c r="H88" s="17" t="s">
        <v>49</v>
      </c>
      <c r="I88" s="17" t="s">
        <v>92</v>
      </c>
      <c r="J88" s="17" t="s">
        <v>49</v>
      </c>
      <c r="K88" s="17" t="n">
        <v>0</v>
      </c>
      <c r="L88" s="17" t="n">
        <v>1</v>
      </c>
      <c r="M88" s="17" t="n">
        <v>4</v>
      </c>
      <c r="N88" s="34" t="n">
        <f aca="false">IF(D88="","",DATE(YEAR(D88),MONTH(D88),1))</f>
        <v>45413</v>
      </c>
      <c r="O88" s="35" t="n">
        <f aca="false">IF(A88="","",IF(ISNUMBER(I88),I88,0))</f>
        <v>0</v>
      </c>
      <c r="P88" s="35" t="n">
        <f aca="false">IF(A88="","",F88+O88+K88)</f>
        <v>5</v>
      </c>
      <c r="Q88" s="36" t="str">
        <f aca="false">IF(A88="","",IF(P88-L88=M88,"OK","Divergente"))</f>
        <v>OK</v>
      </c>
    </row>
    <row r="89" customFormat="false" ht="15" hidden="false" customHeight="false" outlineLevel="0" collapsed="false">
      <c r="A89" s="17" t="n">
        <v>3318</v>
      </c>
      <c r="B89" s="17" t="s">
        <v>178</v>
      </c>
      <c r="C89" s="17" t="s">
        <v>57</v>
      </c>
      <c r="D89" s="33" t="n">
        <v>45435</v>
      </c>
      <c r="E89" s="17" t="s">
        <v>49</v>
      </c>
      <c r="F89" s="17" t="n">
        <v>15</v>
      </c>
      <c r="G89" s="17" t="s">
        <v>44</v>
      </c>
      <c r="H89" s="17" t="s">
        <v>48</v>
      </c>
      <c r="I89" s="17" t="n">
        <v>30</v>
      </c>
      <c r="J89" s="17" t="s">
        <v>48</v>
      </c>
      <c r="K89" s="17" t="n">
        <v>20</v>
      </c>
      <c r="L89" s="17" t="n">
        <v>3</v>
      </c>
      <c r="M89" s="17" t="n">
        <v>62</v>
      </c>
      <c r="N89" s="34" t="n">
        <f aca="false">IF(D89="","",DATE(YEAR(D89),MONTH(D89),1))</f>
        <v>45413</v>
      </c>
      <c r="O89" s="35" t="n">
        <f aca="false">IF(A89="","",IF(ISNUMBER(I89),I89,0))</f>
        <v>30</v>
      </c>
      <c r="P89" s="35" t="n">
        <f aca="false">IF(A89="","",F89+O89+K89)</f>
        <v>65</v>
      </c>
      <c r="Q89" s="36" t="str">
        <f aca="false">IF(A89="","",IF(P89-L89=M89,"OK","Divergente"))</f>
        <v>OK</v>
      </c>
    </row>
    <row r="90" customFormat="false" ht="15" hidden="false" customHeight="false" outlineLevel="0" collapsed="false">
      <c r="A90" s="17" t="n">
        <v>3319</v>
      </c>
      <c r="B90" s="17" t="s">
        <v>179</v>
      </c>
      <c r="C90" s="17" t="s">
        <v>56</v>
      </c>
      <c r="D90" s="33" t="n">
        <v>45436</v>
      </c>
      <c r="E90" s="17" t="s">
        <v>48</v>
      </c>
      <c r="F90" s="17" t="n">
        <v>10</v>
      </c>
      <c r="G90" s="17" t="s">
        <v>42</v>
      </c>
      <c r="H90" s="17" t="s">
        <v>49</v>
      </c>
      <c r="I90" s="17" t="s">
        <v>92</v>
      </c>
      <c r="J90" s="17" t="s">
        <v>48</v>
      </c>
      <c r="K90" s="17" t="n">
        <v>20</v>
      </c>
      <c r="L90" s="17" t="n">
        <v>10</v>
      </c>
      <c r="M90" s="17" t="n">
        <v>20</v>
      </c>
      <c r="N90" s="34" t="n">
        <f aca="false">IF(D90="","",DATE(YEAR(D90),MONTH(D90),1))</f>
        <v>45413</v>
      </c>
      <c r="O90" s="35" t="n">
        <f aca="false">IF(A90="","",IF(ISNUMBER(I90),I90,0))</f>
        <v>0</v>
      </c>
      <c r="P90" s="35" t="n">
        <f aca="false">IF(A90="","",F90+O90+K90)</f>
        <v>30</v>
      </c>
      <c r="Q90" s="36" t="str">
        <f aca="false">IF(A90="","",IF(P90-L90=M90,"OK","Divergente"))</f>
        <v>OK</v>
      </c>
    </row>
    <row r="91" customFormat="false" ht="15" hidden="false" customHeight="false" outlineLevel="0" collapsed="false">
      <c r="A91" s="17" t="n">
        <v>3320</v>
      </c>
      <c r="B91" s="17" t="s">
        <v>180</v>
      </c>
      <c r="C91" s="17" t="s">
        <v>55</v>
      </c>
      <c r="D91" s="33" t="n">
        <v>45437</v>
      </c>
      <c r="E91" s="17" t="s">
        <v>49</v>
      </c>
      <c r="F91" s="17" t="n">
        <v>5</v>
      </c>
      <c r="G91" s="17" t="s">
        <v>43</v>
      </c>
      <c r="H91" s="17" t="s">
        <v>49</v>
      </c>
      <c r="I91" s="17" t="s">
        <v>92</v>
      </c>
      <c r="J91" s="17" t="s">
        <v>49</v>
      </c>
      <c r="K91" s="17" t="n">
        <v>0</v>
      </c>
      <c r="L91" s="17" t="n">
        <v>0</v>
      </c>
      <c r="M91" s="17" t="n">
        <v>5</v>
      </c>
      <c r="N91" s="34" t="n">
        <f aca="false">IF(D91="","",DATE(YEAR(D91),MONTH(D91),1))</f>
        <v>45413</v>
      </c>
      <c r="O91" s="35" t="n">
        <f aca="false">IF(A91="","",IF(ISNUMBER(I91),I91,0))</f>
        <v>0</v>
      </c>
      <c r="P91" s="35" t="n">
        <f aca="false">IF(A91="","",F91+O91+K91)</f>
        <v>5</v>
      </c>
      <c r="Q91" s="36" t="str">
        <f aca="false">IF(A91="","",IF(P91-L91=M91,"OK","Divergente"))</f>
        <v>OK</v>
      </c>
    </row>
    <row r="92" customFormat="false" ht="15" hidden="false" customHeight="false" outlineLevel="0" collapsed="false">
      <c r="A92" s="17" t="n">
        <v>3321</v>
      </c>
      <c r="B92" s="17" t="s">
        <v>181</v>
      </c>
      <c r="C92" s="17" t="s">
        <v>57</v>
      </c>
      <c r="D92" s="33" t="n">
        <v>45438</v>
      </c>
      <c r="E92" s="17" t="s">
        <v>48</v>
      </c>
      <c r="F92" s="17" t="n">
        <v>15</v>
      </c>
      <c r="G92" s="17" t="s">
        <v>42</v>
      </c>
      <c r="H92" s="17" t="s">
        <v>48</v>
      </c>
      <c r="I92" s="17" t="n">
        <v>30</v>
      </c>
      <c r="J92" s="17" t="s">
        <v>48</v>
      </c>
      <c r="K92" s="17" t="n">
        <v>20</v>
      </c>
      <c r="L92" s="17" t="n">
        <v>5</v>
      </c>
      <c r="M92" s="17" t="n">
        <v>60</v>
      </c>
      <c r="N92" s="34" t="n">
        <f aca="false">IF(D92="","",DATE(YEAR(D92),MONTH(D92),1))</f>
        <v>45413</v>
      </c>
      <c r="O92" s="35" t="n">
        <f aca="false">IF(A92="","",IF(ISNUMBER(I92),I92,0))</f>
        <v>30</v>
      </c>
      <c r="P92" s="35" t="n">
        <f aca="false">IF(A92="","",F92+O92+K92)</f>
        <v>65</v>
      </c>
      <c r="Q92" s="36" t="str">
        <f aca="false">IF(A92="","",IF(P92-L92=M92,"OK","Divergente"))</f>
        <v>OK</v>
      </c>
    </row>
    <row r="93" customFormat="false" ht="15" hidden="false" customHeight="false" outlineLevel="0" collapsed="false">
      <c r="A93" s="17" t="n">
        <v>3322</v>
      </c>
      <c r="B93" s="17" t="s">
        <v>182</v>
      </c>
      <c r="C93" s="17" t="s">
        <v>56</v>
      </c>
      <c r="D93" s="33" t="n">
        <v>45439</v>
      </c>
      <c r="E93" s="17" t="s">
        <v>49</v>
      </c>
      <c r="F93" s="17" t="n">
        <v>10</v>
      </c>
      <c r="G93" s="17" t="s">
        <v>44</v>
      </c>
      <c r="H93" s="17" t="s">
        <v>49</v>
      </c>
      <c r="I93" s="17" t="s">
        <v>92</v>
      </c>
      <c r="J93" s="17" t="s">
        <v>48</v>
      </c>
      <c r="K93" s="17" t="n">
        <v>20</v>
      </c>
      <c r="L93" s="17" t="n">
        <v>15</v>
      </c>
      <c r="M93" s="17" t="n">
        <v>15</v>
      </c>
      <c r="N93" s="34" t="n">
        <f aca="false">IF(D93="","",DATE(YEAR(D93),MONTH(D93),1))</f>
        <v>45413</v>
      </c>
      <c r="O93" s="35" t="n">
        <f aca="false">IF(A93="","",IF(ISNUMBER(I93),I93,0))</f>
        <v>0</v>
      </c>
      <c r="P93" s="35" t="n">
        <f aca="false">IF(A93="","",F93+O93+K93)</f>
        <v>30</v>
      </c>
      <c r="Q93" s="36" t="str">
        <f aca="false">IF(A93="","",IF(P93-L93=M93,"OK","Divergente"))</f>
        <v>OK</v>
      </c>
    </row>
    <row r="94" customFormat="false" ht="15" hidden="false" customHeight="false" outlineLevel="0" collapsed="false">
      <c r="A94" s="17" t="n">
        <v>3323</v>
      </c>
      <c r="B94" s="17" t="s">
        <v>183</v>
      </c>
      <c r="C94" s="17" t="s">
        <v>55</v>
      </c>
      <c r="D94" s="33" t="n">
        <v>45440</v>
      </c>
      <c r="E94" s="17" t="s">
        <v>48</v>
      </c>
      <c r="F94" s="17" t="n">
        <v>5</v>
      </c>
      <c r="G94" s="17" t="s">
        <v>42</v>
      </c>
      <c r="H94" s="17" t="s">
        <v>49</v>
      </c>
      <c r="I94" s="17" t="s">
        <v>92</v>
      </c>
      <c r="J94" s="17" t="s">
        <v>49</v>
      </c>
      <c r="K94" s="17" t="n">
        <v>0</v>
      </c>
      <c r="L94" s="17" t="n">
        <v>1</v>
      </c>
      <c r="M94" s="17" t="n">
        <v>4</v>
      </c>
      <c r="N94" s="34" t="n">
        <f aca="false">IF(D94="","",DATE(YEAR(D94),MONTH(D94),1))</f>
        <v>45413</v>
      </c>
      <c r="O94" s="35" t="n">
        <f aca="false">IF(A94="","",IF(ISNUMBER(I94),I94,0))</f>
        <v>0</v>
      </c>
      <c r="P94" s="35" t="n">
        <f aca="false">IF(A94="","",F94+O94+K94)</f>
        <v>5</v>
      </c>
      <c r="Q94" s="36" t="str">
        <f aca="false">IF(A94="","",IF(P94-L94=M94,"OK","Divergente"))</f>
        <v>OK</v>
      </c>
    </row>
    <row r="95" customFormat="false" ht="15" hidden="false" customHeight="false" outlineLevel="0" collapsed="false">
      <c r="A95" s="17" t="n">
        <v>3324</v>
      </c>
      <c r="B95" s="17" t="s">
        <v>184</v>
      </c>
      <c r="C95" s="17" t="s">
        <v>57</v>
      </c>
      <c r="D95" s="33" t="n">
        <v>45441</v>
      </c>
      <c r="E95" s="17" t="s">
        <v>49</v>
      </c>
      <c r="F95" s="17" t="n">
        <v>15</v>
      </c>
      <c r="G95" s="17" t="s">
        <v>43</v>
      </c>
      <c r="H95" s="17" t="s">
        <v>48</v>
      </c>
      <c r="I95" s="17" t="n">
        <v>30</v>
      </c>
      <c r="J95" s="17" t="s">
        <v>48</v>
      </c>
      <c r="K95" s="17" t="n">
        <v>20</v>
      </c>
      <c r="L95" s="17" t="n">
        <v>20</v>
      </c>
      <c r="M95" s="17" t="n">
        <v>45</v>
      </c>
      <c r="N95" s="34" t="n">
        <f aca="false">IF(D95="","",DATE(YEAR(D95),MONTH(D95),1))</f>
        <v>45413</v>
      </c>
      <c r="O95" s="35" t="n">
        <f aca="false">IF(A95="","",IF(ISNUMBER(I95),I95,0))</f>
        <v>30</v>
      </c>
      <c r="P95" s="35" t="n">
        <f aca="false">IF(A95="","",F95+O95+K95)</f>
        <v>65</v>
      </c>
      <c r="Q95" s="36" t="str">
        <f aca="false">IF(A95="","",IF(P95-L95=M95,"OK","Divergente"))</f>
        <v>OK</v>
      </c>
    </row>
    <row r="96" customFormat="false" ht="15" hidden="false" customHeight="false" outlineLevel="0" collapsed="false">
      <c r="A96" s="17" t="n">
        <v>3325</v>
      </c>
      <c r="B96" s="17" t="s">
        <v>185</v>
      </c>
      <c r="C96" s="17" t="s">
        <v>56</v>
      </c>
      <c r="D96" s="33" t="n">
        <v>45442</v>
      </c>
      <c r="E96" s="17" t="s">
        <v>48</v>
      </c>
      <c r="F96" s="17" t="n">
        <v>10</v>
      </c>
      <c r="G96" s="17" t="s">
        <v>43</v>
      </c>
      <c r="H96" s="17" t="s">
        <v>49</v>
      </c>
      <c r="I96" s="17" t="s">
        <v>92</v>
      </c>
      <c r="J96" s="17" t="s">
        <v>48</v>
      </c>
      <c r="K96" s="17" t="n">
        <v>20</v>
      </c>
      <c r="L96" s="17" t="n">
        <v>15</v>
      </c>
      <c r="M96" s="17" t="n">
        <v>15</v>
      </c>
      <c r="N96" s="34" t="n">
        <f aca="false">IF(D96="","",DATE(YEAR(D96),MONTH(D96),1))</f>
        <v>45413</v>
      </c>
      <c r="O96" s="35" t="n">
        <f aca="false">IF(A96="","",IF(ISNUMBER(I96),I96,0))</f>
        <v>0</v>
      </c>
      <c r="P96" s="35" t="n">
        <f aca="false">IF(A96="","",F96+O96+K96)</f>
        <v>30</v>
      </c>
      <c r="Q96" s="36" t="str">
        <f aca="false">IF(A96="","",IF(P96-L96=M96,"OK","Divergente"))</f>
        <v>OK</v>
      </c>
    </row>
    <row r="97" customFormat="false" ht="15" hidden="false" customHeight="false" outlineLevel="0" collapsed="false">
      <c r="A97" s="17" t="n">
        <v>3326</v>
      </c>
      <c r="B97" s="17" t="s">
        <v>186</v>
      </c>
      <c r="C97" s="17" t="s">
        <v>55</v>
      </c>
      <c r="D97" s="33" t="n">
        <v>45443</v>
      </c>
      <c r="E97" s="17" t="s">
        <v>49</v>
      </c>
      <c r="F97" s="17" t="n">
        <v>5</v>
      </c>
      <c r="G97" s="17" t="s">
        <v>44</v>
      </c>
      <c r="H97" s="17" t="s">
        <v>49</v>
      </c>
      <c r="I97" s="17" t="s">
        <v>92</v>
      </c>
      <c r="J97" s="17" t="s">
        <v>49</v>
      </c>
      <c r="K97" s="17" t="n">
        <v>0</v>
      </c>
      <c r="L97" s="17" t="n">
        <v>0</v>
      </c>
      <c r="M97" s="17" t="n">
        <v>5</v>
      </c>
      <c r="N97" s="34" t="n">
        <f aca="false">IF(D97="","",DATE(YEAR(D97),MONTH(D97),1))</f>
        <v>45413</v>
      </c>
      <c r="O97" s="35" t="n">
        <f aca="false">IF(A97="","",IF(ISNUMBER(I97),I97,0))</f>
        <v>0</v>
      </c>
      <c r="P97" s="35" t="n">
        <f aca="false">IF(A97="","",F97+O97+K97)</f>
        <v>5</v>
      </c>
      <c r="Q97" s="36" t="str">
        <f aca="false">IF(A97="","",IF(P97-L97=M97,"OK","Divergente"))</f>
        <v>OK</v>
      </c>
    </row>
    <row r="98" customFormat="false" ht="15" hidden="false" customHeight="false" outlineLevel="0" collapsed="false">
      <c r="A98" s="17" t="n">
        <v>3327</v>
      </c>
      <c r="B98" s="17" t="s">
        <v>187</v>
      </c>
      <c r="C98" s="17" t="s">
        <v>57</v>
      </c>
      <c r="D98" s="33" t="n">
        <v>45444</v>
      </c>
      <c r="E98" s="17" t="s">
        <v>48</v>
      </c>
      <c r="F98" s="17" t="n">
        <v>15</v>
      </c>
      <c r="G98" s="17" t="s">
        <v>42</v>
      </c>
      <c r="H98" s="17" t="s">
        <v>48</v>
      </c>
      <c r="I98" s="17" t="n">
        <v>30</v>
      </c>
      <c r="J98" s="17" t="s">
        <v>48</v>
      </c>
      <c r="K98" s="17" t="n">
        <v>20</v>
      </c>
      <c r="L98" s="17" t="n">
        <v>7</v>
      </c>
      <c r="M98" s="17" t="n">
        <v>58</v>
      </c>
      <c r="N98" s="34" t="n">
        <f aca="false">IF(D98="","",DATE(YEAR(D98),MONTH(D98),1))</f>
        <v>45444</v>
      </c>
      <c r="O98" s="35" t="n">
        <f aca="false">IF(A98="","",IF(ISNUMBER(I98),I98,0))</f>
        <v>30</v>
      </c>
      <c r="P98" s="35" t="n">
        <f aca="false">IF(A98="","",F98+O98+K98)</f>
        <v>65</v>
      </c>
      <c r="Q98" s="36" t="str">
        <f aca="false">IF(A98="","",IF(P98-L98=M98,"OK","Divergente"))</f>
        <v>OK</v>
      </c>
    </row>
    <row r="99" customFormat="false" ht="15" hidden="false" customHeight="false" outlineLevel="0" collapsed="false">
      <c r="A99" s="17" t="n">
        <v>3328</v>
      </c>
      <c r="B99" s="17" t="s">
        <v>188</v>
      </c>
      <c r="C99" s="17" t="s">
        <v>56</v>
      </c>
      <c r="D99" s="33" t="n">
        <v>45445</v>
      </c>
      <c r="E99" s="17" t="s">
        <v>49</v>
      </c>
      <c r="F99" s="17" t="n">
        <v>10</v>
      </c>
      <c r="G99" s="17" t="s">
        <v>44</v>
      </c>
      <c r="H99" s="17" t="s">
        <v>49</v>
      </c>
      <c r="I99" s="17" t="s">
        <v>92</v>
      </c>
      <c r="J99" s="17" t="s">
        <v>48</v>
      </c>
      <c r="K99" s="17" t="n">
        <v>20</v>
      </c>
      <c r="L99" s="17" t="n">
        <v>10</v>
      </c>
      <c r="M99" s="17" t="n">
        <v>20</v>
      </c>
      <c r="N99" s="34" t="n">
        <f aca="false">IF(D99="","",DATE(YEAR(D99),MONTH(D99),1))</f>
        <v>45444</v>
      </c>
      <c r="O99" s="35" t="n">
        <f aca="false">IF(A99="","",IF(ISNUMBER(I99),I99,0))</f>
        <v>0</v>
      </c>
      <c r="P99" s="35" t="n">
        <f aca="false">IF(A99="","",F99+O99+K99)</f>
        <v>30</v>
      </c>
      <c r="Q99" s="36" t="str">
        <f aca="false">IF(A99="","",IF(P99-L99=M99,"OK","Divergente"))</f>
        <v>OK</v>
      </c>
    </row>
    <row r="100" customFormat="false" ht="15" hidden="false" customHeight="false" outlineLevel="0" collapsed="false">
      <c r="A100" s="17" t="n">
        <v>3329</v>
      </c>
      <c r="B100" s="17" t="s">
        <v>189</v>
      </c>
      <c r="C100" s="17" t="s">
        <v>55</v>
      </c>
      <c r="D100" s="33" t="n">
        <v>45446</v>
      </c>
      <c r="E100" s="17" t="s">
        <v>48</v>
      </c>
      <c r="F100" s="17" t="n">
        <v>5</v>
      </c>
      <c r="G100" s="17" t="s">
        <v>43</v>
      </c>
      <c r="H100" s="17" t="s">
        <v>49</v>
      </c>
      <c r="I100" s="17" t="s">
        <v>92</v>
      </c>
      <c r="J100" s="17" t="s">
        <v>49</v>
      </c>
      <c r="K100" s="17" t="n">
        <v>0</v>
      </c>
      <c r="L100" s="17" t="n">
        <v>1</v>
      </c>
      <c r="M100" s="17" t="n">
        <v>4</v>
      </c>
      <c r="N100" s="34" t="n">
        <f aca="false">IF(D100="","",DATE(YEAR(D100),MONTH(D100),1))</f>
        <v>45444</v>
      </c>
      <c r="O100" s="35" t="n">
        <f aca="false">IF(A100="","",IF(ISNUMBER(I100),I100,0))</f>
        <v>0</v>
      </c>
      <c r="P100" s="35" t="n">
        <f aca="false">IF(A100="","",F100+O100+K100)</f>
        <v>5</v>
      </c>
      <c r="Q100" s="36" t="str">
        <f aca="false">IF(A100="","",IF(P100-L100=M100,"OK","Divergente"))</f>
        <v>OK</v>
      </c>
    </row>
    <row r="101" customFormat="false" ht="15" hidden="false" customHeight="false" outlineLevel="0" collapsed="false">
      <c r="A101" s="17" t="n">
        <v>3330</v>
      </c>
      <c r="B101" s="17" t="s">
        <v>190</v>
      </c>
      <c r="C101" s="17" t="s">
        <v>57</v>
      </c>
      <c r="D101" s="33" t="n">
        <v>45447</v>
      </c>
      <c r="E101" s="17" t="s">
        <v>49</v>
      </c>
      <c r="F101" s="17" t="n">
        <v>15</v>
      </c>
      <c r="G101" s="17" t="s">
        <v>42</v>
      </c>
      <c r="H101" s="17" t="s">
        <v>48</v>
      </c>
      <c r="I101" s="17" t="n">
        <v>30</v>
      </c>
      <c r="J101" s="17" t="s">
        <v>48</v>
      </c>
      <c r="K101" s="17" t="n">
        <v>20</v>
      </c>
      <c r="L101" s="17" t="n">
        <v>15</v>
      </c>
      <c r="M101" s="17" t="n">
        <v>50</v>
      </c>
      <c r="N101" s="34" t="n">
        <f aca="false">IF(D101="","",DATE(YEAR(D101),MONTH(D101),1))</f>
        <v>45444</v>
      </c>
      <c r="O101" s="35" t="n">
        <f aca="false">IF(A101="","",IF(ISNUMBER(I101),I101,0))</f>
        <v>30</v>
      </c>
      <c r="P101" s="35" t="n">
        <f aca="false">IF(A101="","",F101+O101+K101)</f>
        <v>65</v>
      </c>
      <c r="Q101" s="36" t="str">
        <f aca="false">IF(A101="","",IF(P101-L101=M101,"OK","Divergente"))</f>
        <v>OK</v>
      </c>
    </row>
    <row r="102" customFormat="false" ht="15" hidden="false" customHeight="false" outlineLevel="0" collapsed="false">
      <c r="A102" s="17" t="n">
        <v>3331</v>
      </c>
      <c r="B102" s="17" t="s">
        <v>191</v>
      </c>
      <c r="C102" s="17" t="s">
        <v>56</v>
      </c>
      <c r="D102" s="33" t="n">
        <v>45448</v>
      </c>
      <c r="E102" s="17" t="s">
        <v>48</v>
      </c>
      <c r="F102" s="17" t="n">
        <v>10</v>
      </c>
      <c r="G102" s="17" t="s">
        <v>42</v>
      </c>
      <c r="H102" s="17" t="s">
        <v>49</v>
      </c>
      <c r="I102" s="17" t="s">
        <v>92</v>
      </c>
      <c r="J102" s="17" t="s">
        <v>48</v>
      </c>
      <c r="K102" s="17" t="n">
        <v>20</v>
      </c>
      <c r="L102" s="17" t="n">
        <v>5</v>
      </c>
      <c r="M102" s="17" t="n">
        <v>25</v>
      </c>
      <c r="N102" s="34" t="n">
        <f aca="false">IF(D102="","",DATE(YEAR(D102),MONTH(D102),1))</f>
        <v>45444</v>
      </c>
      <c r="O102" s="35" t="n">
        <f aca="false">IF(A102="","",IF(ISNUMBER(I102),I102,0))</f>
        <v>0</v>
      </c>
      <c r="P102" s="35" t="n">
        <f aca="false">IF(A102="","",F102+O102+K102)</f>
        <v>30</v>
      </c>
      <c r="Q102" s="36" t="str">
        <f aca="false">IF(A102="","",IF(P102-L102=M102,"OK","Divergente"))</f>
        <v>OK</v>
      </c>
    </row>
    <row r="103" customFormat="false" ht="15" hidden="false" customHeight="false" outlineLevel="0" collapsed="false">
      <c r="A103" s="17" t="n">
        <v>3332</v>
      </c>
      <c r="B103" s="17" t="s">
        <v>192</v>
      </c>
      <c r="C103" s="17" t="s">
        <v>55</v>
      </c>
      <c r="D103" s="33" t="n">
        <v>45449</v>
      </c>
      <c r="E103" s="17" t="s">
        <v>49</v>
      </c>
      <c r="F103" s="17" t="n">
        <v>5</v>
      </c>
      <c r="G103" s="17" t="s">
        <v>44</v>
      </c>
      <c r="H103" s="17" t="s">
        <v>49</v>
      </c>
      <c r="I103" s="17" t="s">
        <v>92</v>
      </c>
      <c r="J103" s="17" t="s">
        <v>49</v>
      </c>
      <c r="K103" s="17" t="n">
        <v>0</v>
      </c>
      <c r="L103" s="17" t="n">
        <v>0</v>
      </c>
      <c r="M103" s="17" t="n">
        <v>5</v>
      </c>
      <c r="N103" s="34" t="n">
        <f aca="false">IF(D103="","",DATE(YEAR(D103),MONTH(D103),1))</f>
        <v>45444</v>
      </c>
      <c r="O103" s="35" t="n">
        <f aca="false">IF(A103="","",IF(ISNUMBER(I103),I103,0))</f>
        <v>0</v>
      </c>
      <c r="P103" s="35" t="n">
        <f aca="false">IF(A103="","",F103+O103+K103)</f>
        <v>5</v>
      </c>
      <c r="Q103" s="36" t="str">
        <f aca="false">IF(A103="","",IF(P103-L103=M103,"OK","Divergente"))</f>
        <v>OK</v>
      </c>
    </row>
    <row r="104" customFormat="false" ht="15" hidden="false" customHeight="false" outlineLevel="0" collapsed="false">
      <c r="A104" s="17" t="n">
        <v>3333</v>
      </c>
      <c r="B104" s="17" t="s">
        <v>193</v>
      </c>
      <c r="C104" s="17" t="s">
        <v>57</v>
      </c>
      <c r="D104" s="33" t="n">
        <v>45450</v>
      </c>
      <c r="E104" s="17" t="s">
        <v>48</v>
      </c>
      <c r="F104" s="17" t="n">
        <v>15</v>
      </c>
      <c r="G104" s="17" t="s">
        <v>43</v>
      </c>
      <c r="H104" s="17" t="s">
        <v>48</v>
      </c>
      <c r="I104" s="17" t="n">
        <v>30</v>
      </c>
      <c r="J104" s="17" t="s">
        <v>48</v>
      </c>
      <c r="K104" s="17" t="n">
        <v>20</v>
      </c>
      <c r="L104" s="17" t="n">
        <v>20</v>
      </c>
      <c r="M104" s="17" t="n">
        <v>45</v>
      </c>
      <c r="N104" s="34" t="n">
        <f aca="false">IF(D104="","",DATE(YEAR(D104),MONTH(D104),1))</f>
        <v>45444</v>
      </c>
      <c r="O104" s="35" t="n">
        <f aca="false">IF(A104="","",IF(ISNUMBER(I104),I104,0))</f>
        <v>30</v>
      </c>
      <c r="P104" s="35" t="n">
        <f aca="false">IF(A104="","",F104+O104+K104)</f>
        <v>65</v>
      </c>
      <c r="Q104" s="36" t="str">
        <f aca="false">IF(A104="","",IF(P104-L104=M104,"OK","Divergente"))</f>
        <v>OK</v>
      </c>
    </row>
    <row r="105" customFormat="false" ht="15" hidden="false" customHeight="false" outlineLevel="0" collapsed="false">
      <c r="A105" s="17" t="n">
        <v>3334</v>
      </c>
      <c r="B105" s="17" t="s">
        <v>194</v>
      </c>
      <c r="C105" s="17" t="s">
        <v>56</v>
      </c>
      <c r="D105" s="33" t="n">
        <v>45451</v>
      </c>
      <c r="E105" s="17" t="s">
        <v>49</v>
      </c>
      <c r="F105" s="17" t="n">
        <v>10</v>
      </c>
      <c r="G105" s="17" t="s">
        <v>43</v>
      </c>
      <c r="H105" s="17" t="s">
        <v>49</v>
      </c>
      <c r="I105" s="17" t="s">
        <v>92</v>
      </c>
      <c r="J105" s="17" t="s">
        <v>48</v>
      </c>
      <c r="K105" s="17" t="n">
        <v>20</v>
      </c>
      <c r="L105" s="17" t="n">
        <v>12</v>
      </c>
      <c r="M105" s="17" t="n">
        <v>18</v>
      </c>
      <c r="N105" s="34" t="n">
        <f aca="false">IF(D105="","",DATE(YEAR(D105),MONTH(D105),1))</f>
        <v>45444</v>
      </c>
      <c r="O105" s="35" t="n">
        <f aca="false">IF(A105="","",IF(ISNUMBER(I105),I105,0))</f>
        <v>0</v>
      </c>
      <c r="P105" s="35" t="n">
        <f aca="false">IF(A105="","",F105+O105+K105)</f>
        <v>30</v>
      </c>
      <c r="Q105" s="36" t="str">
        <f aca="false">IF(A105="","",IF(P105-L105=M105,"OK","Divergente"))</f>
        <v>OK</v>
      </c>
    </row>
    <row r="106" customFormat="false" ht="15" hidden="false" customHeight="false" outlineLevel="0" collapsed="false">
      <c r="A106" s="17" t="n">
        <v>3335</v>
      </c>
      <c r="B106" s="17" t="s">
        <v>195</v>
      </c>
      <c r="C106" s="17" t="s">
        <v>55</v>
      </c>
      <c r="D106" s="33" t="n">
        <v>45452</v>
      </c>
      <c r="E106" s="17" t="s">
        <v>48</v>
      </c>
      <c r="F106" s="17" t="n">
        <v>5</v>
      </c>
      <c r="G106" s="17" t="s">
        <v>42</v>
      </c>
      <c r="H106" s="17" t="s">
        <v>49</v>
      </c>
      <c r="I106" s="17" t="s">
        <v>92</v>
      </c>
      <c r="J106" s="17" t="s">
        <v>49</v>
      </c>
      <c r="K106" s="17" t="n">
        <v>0</v>
      </c>
      <c r="L106" s="17" t="n">
        <v>2</v>
      </c>
      <c r="M106" s="17" t="n">
        <v>3</v>
      </c>
      <c r="N106" s="34" t="n">
        <f aca="false">IF(D106="","",DATE(YEAR(D106),MONTH(D106),1))</f>
        <v>45444</v>
      </c>
      <c r="O106" s="35" t="n">
        <f aca="false">IF(A106="","",IF(ISNUMBER(I106),I106,0))</f>
        <v>0</v>
      </c>
      <c r="P106" s="35" t="n">
        <f aca="false">IF(A106="","",F106+O106+K106)</f>
        <v>5</v>
      </c>
      <c r="Q106" s="36" t="str">
        <f aca="false">IF(A106="","",IF(P106-L106=M106,"OK","Divergente"))</f>
        <v>OK</v>
      </c>
    </row>
    <row r="107" customFormat="false" ht="15" hidden="false" customHeight="false" outlineLevel="0" collapsed="false">
      <c r="A107" s="17" t="n">
        <v>3336</v>
      </c>
      <c r="B107" s="17" t="s">
        <v>196</v>
      </c>
      <c r="C107" s="17" t="s">
        <v>55</v>
      </c>
      <c r="D107" s="33" t="n">
        <v>45453</v>
      </c>
      <c r="E107" s="17" t="s">
        <v>48</v>
      </c>
      <c r="F107" s="17" t="n">
        <v>5</v>
      </c>
      <c r="G107" s="17" t="s">
        <v>42</v>
      </c>
      <c r="H107" s="17" t="s">
        <v>49</v>
      </c>
      <c r="I107" s="17" t="s">
        <v>92</v>
      </c>
      <c r="J107" s="17" t="s">
        <v>49</v>
      </c>
      <c r="K107" s="17" t="n">
        <v>0</v>
      </c>
      <c r="L107" s="17" t="n">
        <v>0</v>
      </c>
      <c r="M107" s="17" t="n">
        <v>5</v>
      </c>
      <c r="N107" s="34" t="n">
        <f aca="false">IF(D107="","",DATE(YEAR(D107),MONTH(D107),1))</f>
        <v>45444</v>
      </c>
      <c r="O107" s="35" t="n">
        <f aca="false">IF(A107="","",IF(ISNUMBER(I107),I107,0))</f>
        <v>0</v>
      </c>
      <c r="P107" s="35" t="n">
        <f aca="false">IF(A107="","",F107+O107+K107)</f>
        <v>5</v>
      </c>
      <c r="Q107" s="36" t="str">
        <f aca="false">IF(A107="","",IF(P107-L107=M107,"OK","Divergente"))</f>
        <v>OK</v>
      </c>
    </row>
    <row r="108" customFormat="false" ht="15" hidden="false" customHeight="false" outlineLevel="0" collapsed="false">
      <c r="A108" s="17" t="n">
        <v>3337</v>
      </c>
      <c r="B108" s="17" t="s">
        <v>197</v>
      </c>
      <c r="C108" s="17" t="s">
        <v>57</v>
      </c>
      <c r="D108" s="33" t="n">
        <v>45454</v>
      </c>
      <c r="E108" s="17" t="s">
        <v>49</v>
      </c>
      <c r="F108" s="17" t="n">
        <v>15</v>
      </c>
      <c r="G108" s="17" t="s">
        <v>43</v>
      </c>
      <c r="H108" s="17" t="s">
        <v>48</v>
      </c>
      <c r="I108" s="17" t="n">
        <v>30</v>
      </c>
      <c r="J108" s="17" t="s">
        <v>48</v>
      </c>
      <c r="K108" s="17" t="n">
        <v>20</v>
      </c>
      <c r="L108" s="17" t="n">
        <v>7</v>
      </c>
      <c r="M108" s="17" t="n">
        <v>58</v>
      </c>
      <c r="N108" s="34" t="n">
        <f aca="false">IF(D108="","",DATE(YEAR(D108),MONTH(D108),1))</f>
        <v>45444</v>
      </c>
      <c r="O108" s="35" t="n">
        <f aca="false">IF(A108="","",IF(ISNUMBER(I108),I108,0))</f>
        <v>30</v>
      </c>
      <c r="P108" s="35" t="n">
        <f aca="false">IF(A108="","",F108+O108+K108)</f>
        <v>65</v>
      </c>
      <c r="Q108" s="36" t="str">
        <f aca="false">IF(A108="","",IF(P108-L108=M108,"OK","Divergente"))</f>
        <v>OK</v>
      </c>
    </row>
    <row r="109" customFormat="false" ht="15" hidden="false" customHeight="false" outlineLevel="0" collapsed="false">
      <c r="A109" s="17" t="n">
        <v>3338</v>
      </c>
      <c r="B109" s="17" t="s">
        <v>198</v>
      </c>
      <c r="C109" s="17" t="s">
        <v>56</v>
      </c>
      <c r="D109" s="33" t="n">
        <v>45455</v>
      </c>
      <c r="E109" s="17" t="s">
        <v>48</v>
      </c>
      <c r="F109" s="17" t="n">
        <v>10</v>
      </c>
      <c r="G109" s="17" t="s">
        <v>44</v>
      </c>
      <c r="H109" s="17" t="s">
        <v>49</v>
      </c>
      <c r="I109" s="17" t="s">
        <v>92</v>
      </c>
      <c r="J109" s="17" t="s">
        <v>48</v>
      </c>
      <c r="K109" s="17" t="n">
        <v>20</v>
      </c>
      <c r="L109" s="17" t="n">
        <v>10</v>
      </c>
      <c r="M109" s="17" t="n">
        <v>20</v>
      </c>
      <c r="N109" s="34" t="n">
        <f aca="false">IF(D109="","",DATE(YEAR(D109),MONTH(D109),1))</f>
        <v>45444</v>
      </c>
      <c r="O109" s="35" t="n">
        <f aca="false">IF(A109="","",IF(ISNUMBER(I109),I109,0))</f>
        <v>0</v>
      </c>
      <c r="P109" s="35" t="n">
        <f aca="false">IF(A109="","",F109+O109+K109)</f>
        <v>30</v>
      </c>
      <c r="Q109" s="36" t="str">
        <f aca="false">IF(A109="","",IF(P109-L109=M109,"OK","Divergente"))</f>
        <v>OK</v>
      </c>
    </row>
    <row r="110" customFormat="false" ht="15" hidden="false" customHeight="false" outlineLevel="0" collapsed="false">
      <c r="A110" s="17" t="n">
        <v>3339</v>
      </c>
      <c r="B110" s="17" t="s">
        <v>199</v>
      </c>
      <c r="C110" s="17" t="s">
        <v>55</v>
      </c>
      <c r="D110" s="33" t="n">
        <v>45456</v>
      </c>
      <c r="E110" s="17" t="s">
        <v>49</v>
      </c>
      <c r="F110" s="17" t="n">
        <v>5</v>
      </c>
      <c r="G110" s="17" t="s">
        <v>43</v>
      </c>
      <c r="H110" s="17" t="s">
        <v>49</v>
      </c>
      <c r="I110" s="17" t="s">
        <v>92</v>
      </c>
      <c r="J110" s="17" t="s">
        <v>49</v>
      </c>
      <c r="K110" s="17" t="n">
        <v>0</v>
      </c>
      <c r="L110" s="17" t="n">
        <v>1</v>
      </c>
      <c r="M110" s="17" t="n">
        <v>4</v>
      </c>
      <c r="N110" s="34" t="n">
        <f aca="false">IF(D110="","",DATE(YEAR(D110),MONTH(D110),1))</f>
        <v>45444</v>
      </c>
      <c r="O110" s="35" t="n">
        <f aca="false">IF(A110="","",IF(ISNUMBER(I110),I110,0))</f>
        <v>0</v>
      </c>
      <c r="P110" s="35" t="n">
        <f aca="false">IF(A110="","",F110+O110+K110)</f>
        <v>5</v>
      </c>
      <c r="Q110" s="36" t="str">
        <f aca="false">IF(A110="","",IF(P110-L110=M110,"OK","Divergente"))</f>
        <v>OK</v>
      </c>
    </row>
    <row r="111" customFormat="false" ht="15" hidden="false" customHeight="false" outlineLevel="0" collapsed="false">
      <c r="A111" s="17" t="n">
        <v>3340</v>
      </c>
      <c r="B111" s="17" t="s">
        <v>200</v>
      </c>
      <c r="C111" s="17" t="s">
        <v>57</v>
      </c>
      <c r="D111" s="33" t="n">
        <v>45457</v>
      </c>
      <c r="E111" s="17" t="s">
        <v>48</v>
      </c>
      <c r="F111" s="17" t="n">
        <v>15</v>
      </c>
      <c r="G111" s="17" t="s">
        <v>42</v>
      </c>
      <c r="H111" s="17" t="s">
        <v>48</v>
      </c>
      <c r="I111" s="17" t="n">
        <v>30</v>
      </c>
      <c r="J111" s="17" t="s">
        <v>48</v>
      </c>
      <c r="K111" s="17" t="n">
        <v>20</v>
      </c>
      <c r="L111" s="17" t="n">
        <v>15</v>
      </c>
      <c r="M111" s="17" t="n">
        <v>50</v>
      </c>
      <c r="N111" s="34" t="n">
        <f aca="false">IF(D111="","",DATE(YEAR(D111),MONTH(D111),1))</f>
        <v>45444</v>
      </c>
      <c r="O111" s="35" t="n">
        <f aca="false">IF(A111="","",IF(ISNUMBER(I111),I111,0))</f>
        <v>30</v>
      </c>
      <c r="P111" s="35" t="n">
        <f aca="false">IF(A111="","",F111+O111+K111)</f>
        <v>65</v>
      </c>
      <c r="Q111" s="36" t="str">
        <f aca="false">IF(A111="","",IF(P111-L111=M111,"OK","Divergente"))</f>
        <v>OK</v>
      </c>
    </row>
    <row r="112" customFormat="false" ht="15" hidden="false" customHeight="false" outlineLevel="0" collapsed="false">
      <c r="A112" s="17" t="n">
        <v>3341</v>
      </c>
      <c r="B112" s="17" t="s">
        <v>201</v>
      </c>
      <c r="C112" s="17" t="s">
        <v>56</v>
      </c>
      <c r="D112" s="33" t="n">
        <v>45458</v>
      </c>
      <c r="E112" s="17" t="s">
        <v>49</v>
      </c>
      <c r="F112" s="17" t="n">
        <v>10</v>
      </c>
      <c r="G112" s="17" t="s">
        <v>42</v>
      </c>
      <c r="H112" s="17" t="s">
        <v>49</v>
      </c>
      <c r="I112" s="17" t="s">
        <v>92</v>
      </c>
      <c r="J112" s="17" t="s">
        <v>48</v>
      </c>
      <c r="K112" s="17" t="n">
        <v>20</v>
      </c>
      <c r="L112" s="17" t="n">
        <v>5</v>
      </c>
      <c r="M112" s="17" t="n">
        <v>25</v>
      </c>
      <c r="N112" s="34" t="n">
        <f aca="false">IF(D112="","",DATE(YEAR(D112),MONTH(D112),1))</f>
        <v>45444</v>
      </c>
      <c r="O112" s="35" t="n">
        <f aca="false">IF(A112="","",IF(ISNUMBER(I112),I112,0))</f>
        <v>0</v>
      </c>
      <c r="P112" s="35" t="n">
        <f aca="false">IF(A112="","",F112+O112+K112)</f>
        <v>30</v>
      </c>
      <c r="Q112" s="36" t="str">
        <f aca="false">IF(A112="","",IF(P112-L112=M112,"OK","Divergente"))</f>
        <v>OK</v>
      </c>
    </row>
    <row r="113" customFormat="false" ht="15" hidden="false" customHeight="false" outlineLevel="0" collapsed="false">
      <c r="A113" s="17" t="n">
        <v>3342</v>
      </c>
      <c r="B113" s="17" t="s">
        <v>202</v>
      </c>
      <c r="C113" s="17" t="s">
        <v>55</v>
      </c>
      <c r="D113" s="33" t="n">
        <v>45459</v>
      </c>
      <c r="E113" s="17" t="s">
        <v>48</v>
      </c>
      <c r="F113" s="17" t="n">
        <v>5</v>
      </c>
      <c r="G113" s="17" t="s">
        <v>44</v>
      </c>
      <c r="H113" s="17" t="s">
        <v>49</v>
      </c>
      <c r="I113" s="17" t="s">
        <v>92</v>
      </c>
      <c r="J113" s="17" t="s">
        <v>49</v>
      </c>
      <c r="K113" s="17" t="n">
        <v>0</v>
      </c>
      <c r="L113" s="17" t="n">
        <v>0</v>
      </c>
      <c r="M113" s="17" t="n">
        <v>5</v>
      </c>
      <c r="N113" s="34" t="n">
        <f aca="false">IF(D113="","",DATE(YEAR(D113),MONTH(D113),1))</f>
        <v>45444</v>
      </c>
      <c r="O113" s="35" t="n">
        <f aca="false">IF(A113="","",IF(ISNUMBER(I113),I113,0))</f>
        <v>0</v>
      </c>
      <c r="P113" s="35" t="n">
        <f aca="false">IF(A113="","",F113+O113+K113)</f>
        <v>5</v>
      </c>
      <c r="Q113" s="36" t="str">
        <f aca="false">IF(A113="","",IF(P113-L113=M113,"OK","Divergente"))</f>
        <v>OK</v>
      </c>
    </row>
    <row r="114" customFormat="false" ht="15" hidden="false" customHeight="false" outlineLevel="0" collapsed="false">
      <c r="A114" s="17" t="n">
        <v>3343</v>
      </c>
      <c r="B114" s="17" t="s">
        <v>203</v>
      </c>
      <c r="C114" s="17" t="s">
        <v>57</v>
      </c>
      <c r="D114" s="33" t="n">
        <v>45460</v>
      </c>
      <c r="E114" s="17" t="s">
        <v>49</v>
      </c>
      <c r="F114" s="17" t="n">
        <v>15</v>
      </c>
      <c r="G114" s="17" t="s">
        <v>43</v>
      </c>
      <c r="H114" s="17" t="s">
        <v>48</v>
      </c>
      <c r="I114" s="17" t="n">
        <v>30</v>
      </c>
      <c r="J114" s="17" t="s">
        <v>48</v>
      </c>
      <c r="K114" s="17" t="n">
        <v>20</v>
      </c>
      <c r="L114" s="17" t="n">
        <v>20</v>
      </c>
      <c r="M114" s="17" t="n">
        <v>45</v>
      </c>
      <c r="N114" s="34" t="n">
        <f aca="false">IF(D114="","",DATE(YEAR(D114),MONTH(D114),1))</f>
        <v>45444</v>
      </c>
      <c r="O114" s="35" t="n">
        <f aca="false">IF(A114="","",IF(ISNUMBER(I114),I114,0))</f>
        <v>30</v>
      </c>
      <c r="P114" s="35" t="n">
        <f aca="false">IF(A114="","",F114+O114+K114)</f>
        <v>65</v>
      </c>
      <c r="Q114" s="36" t="str">
        <f aca="false">IF(A114="","",IF(P114-L114=M114,"OK","Divergente"))</f>
        <v>OK</v>
      </c>
    </row>
    <row r="115" customFormat="false" ht="15" hidden="false" customHeight="false" outlineLevel="0" collapsed="false">
      <c r="A115" s="17" t="n">
        <v>3344</v>
      </c>
      <c r="B115" s="17" t="s">
        <v>204</v>
      </c>
      <c r="C115" s="17" t="s">
        <v>56</v>
      </c>
      <c r="D115" s="33" t="n">
        <v>45461</v>
      </c>
      <c r="E115" s="17" t="s">
        <v>48</v>
      </c>
      <c r="F115" s="17" t="n">
        <v>10</v>
      </c>
      <c r="G115" s="17" t="s">
        <v>43</v>
      </c>
      <c r="H115" s="17" t="s">
        <v>49</v>
      </c>
      <c r="I115" s="17" t="s">
        <v>92</v>
      </c>
      <c r="J115" s="17" t="s">
        <v>48</v>
      </c>
      <c r="K115" s="17" t="n">
        <v>20</v>
      </c>
      <c r="L115" s="17" t="n">
        <v>12</v>
      </c>
      <c r="M115" s="17" t="n">
        <v>18</v>
      </c>
      <c r="N115" s="34" t="n">
        <f aca="false">IF(D115="","",DATE(YEAR(D115),MONTH(D115),1))</f>
        <v>45444</v>
      </c>
      <c r="O115" s="35" t="n">
        <f aca="false">IF(A115="","",IF(ISNUMBER(I115),I115,0))</f>
        <v>0</v>
      </c>
      <c r="P115" s="35" t="n">
        <f aca="false">IF(A115="","",F115+O115+K115)</f>
        <v>30</v>
      </c>
      <c r="Q115" s="36" t="str">
        <f aca="false">IF(A115="","",IF(P115-L115=M115,"OK","Divergente"))</f>
        <v>OK</v>
      </c>
    </row>
    <row r="116" customFormat="false" ht="15" hidden="false" customHeight="false" outlineLevel="0" collapsed="false">
      <c r="A116" s="17" t="n">
        <v>3345</v>
      </c>
      <c r="B116" s="17" t="s">
        <v>205</v>
      </c>
      <c r="C116" s="17" t="s">
        <v>55</v>
      </c>
      <c r="D116" s="33" t="n">
        <v>45462</v>
      </c>
      <c r="E116" s="17" t="s">
        <v>49</v>
      </c>
      <c r="F116" s="17" t="n">
        <v>5</v>
      </c>
      <c r="G116" s="17" t="s">
        <v>42</v>
      </c>
      <c r="H116" s="17" t="s">
        <v>49</v>
      </c>
      <c r="I116" s="17" t="s">
        <v>92</v>
      </c>
      <c r="J116" s="17" t="s">
        <v>49</v>
      </c>
      <c r="K116" s="17" t="n">
        <v>0</v>
      </c>
      <c r="L116" s="17" t="n">
        <v>2</v>
      </c>
      <c r="M116" s="17" t="n">
        <v>3</v>
      </c>
      <c r="N116" s="34" t="n">
        <f aca="false">IF(D116="","",DATE(YEAR(D116),MONTH(D116),1))</f>
        <v>45444</v>
      </c>
      <c r="O116" s="35" t="n">
        <f aca="false">IF(A116="","",IF(ISNUMBER(I116),I116,0))</f>
        <v>0</v>
      </c>
      <c r="P116" s="35" t="n">
        <f aca="false">IF(A116="","",F116+O116+K116)</f>
        <v>5</v>
      </c>
      <c r="Q116" s="36" t="str">
        <f aca="false">IF(A116="","",IF(P116-L116=M116,"OK","Divergente"))</f>
        <v>OK</v>
      </c>
    </row>
    <row r="117" customFormat="false" ht="15" hidden="false" customHeight="false" outlineLevel="0" collapsed="false">
      <c r="A117" s="17" t="n">
        <v>3346</v>
      </c>
      <c r="B117" s="17" t="s">
        <v>206</v>
      </c>
      <c r="C117" s="17" t="s">
        <v>57</v>
      </c>
      <c r="D117" s="33" t="n">
        <v>45463</v>
      </c>
      <c r="E117" s="17" t="s">
        <v>48</v>
      </c>
      <c r="F117" s="17" t="n">
        <v>15</v>
      </c>
      <c r="G117" s="17" t="s">
        <v>44</v>
      </c>
      <c r="H117" s="17" t="s">
        <v>48</v>
      </c>
      <c r="I117" s="17" t="n">
        <v>30</v>
      </c>
      <c r="J117" s="17" t="s">
        <v>48</v>
      </c>
      <c r="K117" s="17" t="n">
        <v>20</v>
      </c>
      <c r="L117" s="17" t="n">
        <v>5</v>
      </c>
      <c r="M117" s="17" t="n">
        <v>60</v>
      </c>
      <c r="N117" s="34" t="n">
        <f aca="false">IF(D117="","",DATE(YEAR(D117),MONTH(D117),1))</f>
        <v>45444</v>
      </c>
      <c r="O117" s="35" t="n">
        <f aca="false">IF(A117="","",IF(ISNUMBER(I117),I117,0))</f>
        <v>30</v>
      </c>
      <c r="P117" s="35" t="n">
        <f aca="false">IF(A117="","",F117+O117+K117)</f>
        <v>65</v>
      </c>
      <c r="Q117" s="36" t="str">
        <f aca="false">IF(A117="","",IF(P117-L117=M117,"OK","Divergente"))</f>
        <v>OK</v>
      </c>
    </row>
    <row r="118" customFormat="false" ht="15" hidden="false" customHeight="false" outlineLevel="0" collapsed="false">
      <c r="A118" s="17" t="n">
        <v>3347</v>
      </c>
      <c r="B118" s="17" t="s">
        <v>207</v>
      </c>
      <c r="C118" s="17" t="s">
        <v>56</v>
      </c>
      <c r="D118" s="33" t="n">
        <v>45464</v>
      </c>
      <c r="E118" s="17" t="s">
        <v>49</v>
      </c>
      <c r="F118" s="17" t="n">
        <v>10</v>
      </c>
      <c r="G118" s="17" t="s">
        <v>42</v>
      </c>
      <c r="H118" s="17" t="s">
        <v>49</v>
      </c>
      <c r="I118" s="17" t="s">
        <v>92</v>
      </c>
      <c r="J118" s="17" t="s">
        <v>48</v>
      </c>
      <c r="K118" s="17" t="n">
        <v>20</v>
      </c>
      <c r="L118" s="17" t="n">
        <v>10</v>
      </c>
      <c r="M118" s="17" t="n">
        <v>20</v>
      </c>
      <c r="N118" s="34" t="n">
        <f aca="false">IF(D118="","",DATE(YEAR(D118),MONTH(D118),1))</f>
        <v>45444</v>
      </c>
      <c r="O118" s="35" t="n">
        <f aca="false">IF(A118="","",IF(ISNUMBER(I118),I118,0))</f>
        <v>0</v>
      </c>
      <c r="P118" s="35" t="n">
        <f aca="false">IF(A118="","",F118+O118+K118)</f>
        <v>30</v>
      </c>
      <c r="Q118" s="36" t="str">
        <f aca="false">IF(A118="","",IF(P118-L118=M118,"OK","Divergente"))</f>
        <v>OK</v>
      </c>
    </row>
    <row r="119" customFormat="false" ht="15" hidden="false" customHeight="false" outlineLevel="0" collapsed="false">
      <c r="A119" s="17" t="n">
        <v>3348</v>
      </c>
      <c r="B119" s="17" t="s">
        <v>208</v>
      </c>
      <c r="C119" s="17" t="s">
        <v>55</v>
      </c>
      <c r="D119" s="33" t="n">
        <v>45465</v>
      </c>
      <c r="E119" s="17" t="s">
        <v>48</v>
      </c>
      <c r="F119" s="17" t="n">
        <v>5</v>
      </c>
      <c r="G119" s="17" t="s">
        <v>43</v>
      </c>
      <c r="H119" s="17" t="s">
        <v>49</v>
      </c>
      <c r="I119" s="17" t="s">
        <v>92</v>
      </c>
      <c r="J119" s="17" t="s">
        <v>49</v>
      </c>
      <c r="K119" s="17" t="n">
        <v>0</v>
      </c>
      <c r="L119" s="17" t="n">
        <v>0</v>
      </c>
      <c r="M119" s="17" t="n">
        <v>5</v>
      </c>
      <c r="N119" s="34" t="n">
        <f aca="false">IF(D119="","",DATE(YEAR(D119),MONTH(D119),1))</f>
        <v>45444</v>
      </c>
      <c r="O119" s="35" t="n">
        <f aca="false">IF(A119="","",IF(ISNUMBER(I119),I119,0))</f>
        <v>0</v>
      </c>
      <c r="P119" s="35" t="n">
        <f aca="false">IF(A119="","",F119+O119+K119)</f>
        <v>5</v>
      </c>
      <c r="Q119" s="36" t="str">
        <f aca="false">IF(A119="","",IF(P119-L119=M119,"OK","Divergente"))</f>
        <v>OK</v>
      </c>
    </row>
    <row r="120" customFormat="false" ht="15" hidden="false" customHeight="false" outlineLevel="0" collapsed="false">
      <c r="A120" s="17" t="n">
        <v>3349</v>
      </c>
      <c r="B120" s="17" t="s">
        <v>184</v>
      </c>
      <c r="C120" s="17" t="s">
        <v>57</v>
      </c>
      <c r="D120" s="33" t="n">
        <v>45466</v>
      </c>
      <c r="E120" s="17" t="s">
        <v>49</v>
      </c>
      <c r="F120" s="17" t="n">
        <v>15</v>
      </c>
      <c r="G120" s="17" t="s">
        <v>42</v>
      </c>
      <c r="H120" s="17" t="s">
        <v>48</v>
      </c>
      <c r="I120" s="17" t="n">
        <v>30</v>
      </c>
      <c r="J120" s="17" t="s">
        <v>48</v>
      </c>
      <c r="K120" s="17" t="n">
        <v>20</v>
      </c>
      <c r="L120" s="17" t="n">
        <v>3</v>
      </c>
      <c r="M120" s="17" t="n">
        <v>62</v>
      </c>
      <c r="N120" s="34" t="n">
        <f aca="false">IF(D120="","",DATE(YEAR(D120),MONTH(D120),1))</f>
        <v>45444</v>
      </c>
      <c r="O120" s="35" t="n">
        <f aca="false">IF(A120="","",IF(ISNUMBER(I120),I120,0))</f>
        <v>30</v>
      </c>
      <c r="P120" s="35" t="n">
        <f aca="false">IF(A120="","",F120+O120+K120)</f>
        <v>65</v>
      </c>
      <c r="Q120" s="36" t="str">
        <f aca="false">IF(A120="","",IF(P120-L120=M120,"OK","Divergente"))</f>
        <v>OK</v>
      </c>
    </row>
    <row r="121" customFormat="false" ht="15" hidden="false" customHeight="false" outlineLevel="0" collapsed="false">
      <c r="A121" s="17" t="n">
        <v>3350</v>
      </c>
      <c r="B121" s="17" t="s">
        <v>209</v>
      </c>
      <c r="C121" s="17" t="s">
        <v>56</v>
      </c>
      <c r="D121" s="33" t="n">
        <v>45467</v>
      </c>
      <c r="E121" s="17" t="s">
        <v>48</v>
      </c>
      <c r="F121" s="17" t="n">
        <v>10</v>
      </c>
      <c r="G121" s="17" t="s">
        <v>44</v>
      </c>
      <c r="H121" s="17" t="s">
        <v>49</v>
      </c>
      <c r="I121" s="17" t="s">
        <v>92</v>
      </c>
      <c r="J121" s="17" t="s">
        <v>48</v>
      </c>
      <c r="K121" s="17" t="n">
        <v>20</v>
      </c>
      <c r="L121" s="17" t="n">
        <v>15</v>
      </c>
      <c r="M121" s="17" t="n">
        <v>15</v>
      </c>
      <c r="N121" s="34" t="n">
        <f aca="false">IF(D121="","",DATE(YEAR(D121),MONTH(D121),1))</f>
        <v>45444</v>
      </c>
      <c r="O121" s="35" t="n">
        <f aca="false">IF(A121="","",IF(ISNUMBER(I121),I121,0))</f>
        <v>0</v>
      </c>
      <c r="P121" s="35" t="n">
        <f aca="false">IF(A121="","",F121+O121+K121)</f>
        <v>30</v>
      </c>
      <c r="Q121" s="36" t="str">
        <f aca="false">IF(A121="","",IF(P121-L121=M121,"OK","Divergente"))</f>
        <v>OK</v>
      </c>
    </row>
    <row r="122" customFormat="false" ht="15" hidden="false" customHeight="false" outlineLevel="0" collapsed="false">
      <c r="A122" s="17" t="n">
        <v>3351</v>
      </c>
      <c r="B122" s="17" t="s">
        <v>210</v>
      </c>
      <c r="C122" s="17" t="s">
        <v>55</v>
      </c>
      <c r="D122" s="33" t="n">
        <v>45468</v>
      </c>
      <c r="E122" s="17" t="s">
        <v>49</v>
      </c>
      <c r="F122" s="17" t="n">
        <v>5</v>
      </c>
      <c r="G122" s="17" t="s">
        <v>42</v>
      </c>
      <c r="H122" s="17" t="s">
        <v>49</v>
      </c>
      <c r="I122" s="17" t="s">
        <v>92</v>
      </c>
      <c r="J122" s="17" t="s">
        <v>49</v>
      </c>
      <c r="K122" s="17" t="n">
        <v>0</v>
      </c>
      <c r="L122" s="17" t="n">
        <v>1</v>
      </c>
      <c r="M122" s="17" t="n">
        <v>4</v>
      </c>
      <c r="N122" s="34" t="n">
        <f aca="false">IF(D122="","",DATE(YEAR(D122),MONTH(D122),1))</f>
        <v>45444</v>
      </c>
      <c r="O122" s="35" t="n">
        <f aca="false">IF(A122="","",IF(ISNUMBER(I122),I122,0))</f>
        <v>0</v>
      </c>
      <c r="P122" s="35" t="n">
        <f aca="false">IF(A122="","",F122+O122+K122)</f>
        <v>5</v>
      </c>
      <c r="Q122" s="36" t="str">
        <f aca="false">IF(A122="","",IF(P122-L122=M122,"OK","Divergente"))</f>
        <v>OK</v>
      </c>
    </row>
    <row r="123" customFormat="false" ht="15" hidden="false" customHeight="false" outlineLevel="0" collapsed="false">
      <c r="A123" s="17" t="n">
        <v>3352</v>
      </c>
      <c r="B123" s="17" t="s">
        <v>211</v>
      </c>
      <c r="C123" s="17" t="s">
        <v>57</v>
      </c>
      <c r="D123" s="33" t="n">
        <v>45469</v>
      </c>
      <c r="E123" s="17" t="s">
        <v>48</v>
      </c>
      <c r="F123" s="17" t="n">
        <v>15</v>
      </c>
      <c r="G123" s="17" t="s">
        <v>43</v>
      </c>
      <c r="H123" s="17" t="s">
        <v>48</v>
      </c>
      <c r="I123" s="17" t="n">
        <v>30</v>
      </c>
      <c r="J123" s="17" t="s">
        <v>48</v>
      </c>
      <c r="K123" s="17" t="n">
        <v>20</v>
      </c>
      <c r="L123" s="17" t="n">
        <v>7</v>
      </c>
      <c r="M123" s="17" t="n">
        <v>58</v>
      </c>
      <c r="N123" s="34" t="n">
        <f aca="false">IF(D123="","",DATE(YEAR(D123),MONTH(D123),1))</f>
        <v>45444</v>
      </c>
      <c r="O123" s="35" t="n">
        <f aca="false">IF(A123="","",IF(ISNUMBER(I123),I123,0))</f>
        <v>30</v>
      </c>
      <c r="P123" s="35" t="n">
        <f aca="false">IF(A123="","",F123+O123+K123)</f>
        <v>65</v>
      </c>
      <c r="Q123" s="36" t="str">
        <f aca="false">IF(A123="","",IF(P123-L123=M123,"OK","Divergente"))</f>
        <v>OK</v>
      </c>
    </row>
    <row r="124" customFormat="false" ht="15" hidden="false" customHeight="false" outlineLevel="0" collapsed="false">
      <c r="A124" s="17" t="n">
        <v>3353</v>
      </c>
      <c r="B124" s="17" t="s">
        <v>212</v>
      </c>
      <c r="C124" s="17" t="s">
        <v>56</v>
      </c>
      <c r="D124" s="33" t="n">
        <v>45470</v>
      </c>
      <c r="E124" s="17" t="s">
        <v>49</v>
      </c>
      <c r="F124" s="17" t="n">
        <v>10</v>
      </c>
      <c r="G124" s="17" t="s">
        <v>42</v>
      </c>
      <c r="H124" s="17" t="s">
        <v>49</v>
      </c>
      <c r="I124" s="17" t="s">
        <v>92</v>
      </c>
      <c r="J124" s="17" t="s">
        <v>48</v>
      </c>
      <c r="K124" s="17" t="n">
        <v>20</v>
      </c>
      <c r="L124" s="17" t="n">
        <v>10</v>
      </c>
      <c r="M124" s="17" t="n">
        <v>20</v>
      </c>
      <c r="N124" s="34" t="n">
        <f aca="false">IF(D124="","",DATE(YEAR(D124),MONTH(D124),1))</f>
        <v>45444</v>
      </c>
      <c r="O124" s="35" t="n">
        <f aca="false">IF(A124="","",IF(ISNUMBER(I124),I124,0))</f>
        <v>0</v>
      </c>
      <c r="P124" s="35" t="n">
        <f aca="false">IF(A124="","",F124+O124+K124)</f>
        <v>30</v>
      </c>
      <c r="Q124" s="36" t="str">
        <f aca="false">IF(A124="","",IF(P124-L124=M124,"OK","Divergente"))</f>
        <v>OK</v>
      </c>
    </row>
    <row r="125" customFormat="false" ht="15" hidden="false" customHeight="false" outlineLevel="0" collapsed="false">
      <c r="A125" s="17" t="n">
        <v>3354</v>
      </c>
      <c r="B125" s="17" t="s">
        <v>213</v>
      </c>
      <c r="C125" s="17" t="s">
        <v>55</v>
      </c>
      <c r="D125" s="33" t="n">
        <v>45471</v>
      </c>
      <c r="E125" s="17" t="s">
        <v>48</v>
      </c>
      <c r="F125" s="17" t="n">
        <v>5</v>
      </c>
      <c r="G125" s="17" t="s">
        <v>44</v>
      </c>
      <c r="H125" s="17" t="s">
        <v>49</v>
      </c>
      <c r="I125" s="17" t="s">
        <v>92</v>
      </c>
      <c r="J125" s="17" t="s">
        <v>49</v>
      </c>
      <c r="K125" s="17" t="n">
        <v>0</v>
      </c>
      <c r="L125" s="17" t="n">
        <v>0</v>
      </c>
      <c r="M125" s="17" t="n">
        <v>5</v>
      </c>
      <c r="N125" s="34" t="n">
        <f aca="false">IF(D125="","",DATE(YEAR(D125),MONTH(D125),1))</f>
        <v>45444</v>
      </c>
      <c r="O125" s="35" t="n">
        <f aca="false">IF(A125="","",IF(ISNUMBER(I125),I125,0))</f>
        <v>0</v>
      </c>
      <c r="P125" s="35" t="n">
        <f aca="false">IF(A125="","",F125+O125+K125)</f>
        <v>5</v>
      </c>
      <c r="Q125" s="36" t="str">
        <f aca="false">IF(A125="","",IF(P125-L125=M125,"OK","Divergente"))</f>
        <v>OK</v>
      </c>
    </row>
    <row r="126" customFormat="false" ht="15" hidden="false" customHeight="false" outlineLevel="0" collapsed="false">
      <c r="A126" s="17" t="n">
        <v>3355</v>
      </c>
      <c r="B126" s="17" t="s">
        <v>214</v>
      </c>
      <c r="C126" s="17" t="s">
        <v>57</v>
      </c>
      <c r="D126" s="33" t="n">
        <v>45472</v>
      </c>
      <c r="E126" s="17" t="s">
        <v>49</v>
      </c>
      <c r="F126" s="17" t="n">
        <v>15</v>
      </c>
      <c r="G126" s="17" t="s">
        <v>42</v>
      </c>
      <c r="H126" s="17" t="s">
        <v>48</v>
      </c>
      <c r="I126" s="17" t="n">
        <v>30</v>
      </c>
      <c r="J126" s="17" t="s">
        <v>48</v>
      </c>
      <c r="K126" s="17" t="n">
        <v>20</v>
      </c>
      <c r="L126" s="17" t="n">
        <v>20</v>
      </c>
      <c r="M126" s="17" t="n">
        <v>45</v>
      </c>
      <c r="N126" s="34" t="n">
        <f aca="false">IF(D126="","",DATE(YEAR(D126),MONTH(D126),1))</f>
        <v>45444</v>
      </c>
      <c r="O126" s="35" t="n">
        <f aca="false">IF(A126="","",IF(ISNUMBER(I126),I126,0))</f>
        <v>30</v>
      </c>
      <c r="P126" s="35" t="n">
        <f aca="false">IF(A126="","",F126+O126+K126)</f>
        <v>65</v>
      </c>
      <c r="Q126" s="36" t="str">
        <f aca="false">IF(A126="","",IF(P126-L126=M126,"OK","Divergente"))</f>
        <v>OK</v>
      </c>
    </row>
    <row r="127" customFormat="false" ht="15" hidden="false" customHeight="false" outlineLevel="0" collapsed="false">
      <c r="A127" s="17" t="n">
        <v>3356</v>
      </c>
      <c r="B127" s="17" t="s">
        <v>215</v>
      </c>
      <c r="C127" s="17" t="s">
        <v>56</v>
      </c>
      <c r="D127" s="33" t="n">
        <v>45473</v>
      </c>
      <c r="E127" s="17" t="s">
        <v>48</v>
      </c>
      <c r="F127" s="17" t="n">
        <v>10</v>
      </c>
      <c r="G127" s="17" t="s">
        <v>43</v>
      </c>
      <c r="H127" s="17" t="s">
        <v>49</v>
      </c>
      <c r="I127" s="17" t="s">
        <v>92</v>
      </c>
      <c r="J127" s="17" t="s">
        <v>48</v>
      </c>
      <c r="K127" s="17" t="n">
        <v>20</v>
      </c>
      <c r="L127" s="17" t="n">
        <v>15</v>
      </c>
      <c r="M127" s="17" t="n">
        <v>15</v>
      </c>
      <c r="N127" s="34" t="n">
        <f aca="false">IF(D127="","",DATE(YEAR(D127),MONTH(D127),1))</f>
        <v>45444</v>
      </c>
      <c r="O127" s="35" t="n">
        <f aca="false">IF(A127="","",IF(ISNUMBER(I127),I127,0))</f>
        <v>0</v>
      </c>
      <c r="P127" s="35" t="n">
        <f aca="false">IF(A127="","",F127+O127+K127)</f>
        <v>30</v>
      </c>
      <c r="Q127" s="36" t="str">
        <f aca="false">IF(A127="","",IF(P127-L127=M127,"OK","Divergente"))</f>
        <v>OK</v>
      </c>
    </row>
    <row r="128" customFormat="false" ht="15" hidden="false" customHeight="false" outlineLevel="0" collapsed="false">
      <c r="A128" s="17" t="n">
        <v>3357</v>
      </c>
      <c r="B128" s="17" t="s">
        <v>216</v>
      </c>
      <c r="C128" s="17" t="s">
        <v>55</v>
      </c>
      <c r="D128" s="33" t="n">
        <v>45474</v>
      </c>
      <c r="E128" s="17" t="s">
        <v>49</v>
      </c>
      <c r="F128" s="17" t="n">
        <v>5</v>
      </c>
      <c r="G128" s="17" t="s">
        <v>42</v>
      </c>
      <c r="H128" s="17" t="s">
        <v>49</v>
      </c>
      <c r="I128" s="17" t="s">
        <v>92</v>
      </c>
      <c r="J128" s="17" t="s">
        <v>49</v>
      </c>
      <c r="K128" s="17" t="n">
        <v>0</v>
      </c>
      <c r="L128" s="17" t="n">
        <v>1</v>
      </c>
      <c r="M128" s="17" t="n">
        <v>4</v>
      </c>
      <c r="N128" s="34" t="n">
        <f aca="false">IF(D128="","",DATE(YEAR(D128),MONTH(D128),1))</f>
        <v>45474</v>
      </c>
      <c r="O128" s="35" t="n">
        <f aca="false">IF(A128="","",IF(ISNUMBER(I128),I128,0))</f>
        <v>0</v>
      </c>
      <c r="P128" s="35" t="n">
        <f aca="false">IF(A128="","",F128+O128+K128)</f>
        <v>5</v>
      </c>
      <c r="Q128" s="36" t="str">
        <f aca="false">IF(A128="","",IF(P128-L128=M128,"OK","Divergente"))</f>
        <v>OK</v>
      </c>
    </row>
    <row r="129" customFormat="false" ht="15" hidden="false" customHeight="false" outlineLevel="0" collapsed="false">
      <c r="A129" s="17" t="n">
        <v>3358</v>
      </c>
      <c r="B129" s="17" t="s">
        <v>217</v>
      </c>
      <c r="C129" s="17" t="s">
        <v>57</v>
      </c>
      <c r="D129" s="33" t="n">
        <v>45475</v>
      </c>
      <c r="E129" s="17" t="s">
        <v>48</v>
      </c>
      <c r="F129" s="17" t="n">
        <v>15</v>
      </c>
      <c r="G129" s="17" t="s">
        <v>44</v>
      </c>
      <c r="H129" s="17" t="s">
        <v>48</v>
      </c>
      <c r="I129" s="17" t="n">
        <v>30</v>
      </c>
      <c r="J129" s="17" t="s">
        <v>48</v>
      </c>
      <c r="K129" s="17" t="n">
        <v>20</v>
      </c>
      <c r="L129" s="17" t="n">
        <v>3</v>
      </c>
      <c r="M129" s="17" t="n">
        <v>62</v>
      </c>
      <c r="N129" s="34" t="n">
        <f aca="false">IF(D129="","",DATE(YEAR(D129),MONTH(D129),1))</f>
        <v>45474</v>
      </c>
      <c r="O129" s="35" t="n">
        <f aca="false">IF(A129="","",IF(ISNUMBER(I129),I129,0))</f>
        <v>30</v>
      </c>
      <c r="P129" s="35" t="n">
        <f aca="false">IF(A129="","",F129+O129+K129)</f>
        <v>65</v>
      </c>
      <c r="Q129" s="36" t="str">
        <f aca="false">IF(A129="","",IF(P129-L129=M129,"OK","Divergente"))</f>
        <v>OK</v>
      </c>
    </row>
    <row r="130" customFormat="false" ht="15" hidden="false" customHeight="false" outlineLevel="0" collapsed="false">
      <c r="A130" s="17" t="n">
        <v>3359</v>
      </c>
      <c r="B130" s="17" t="s">
        <v>218</v>
      </c>
      <c r="C130" s="17" t="s">
        <v>56</v>
      </c>
      <c r="D130" s="33" t="n">
        <v>45476</v>
      </c>
      <c r="E130" s="17" t="s">
        <v>49</v>
      </c>
      <c r="F130" s="17" t="n">
        <v>10</v>
      </c>
      <c r="G130" s="17" t="s">
        <v>42</v>
      </c>
      <c r="H130" s="17" t="s">
        <v>49</v>
      </c>
      <c r="I130" s="17" t="s">
        <v>92</v>
      </c>
      <c r="J130" s="17" t="s">
        <v>48</v>
      </c>
      <c r="K130" s="17" t="n">
        <v>20</v>
      </c>
      <c r="L130" s="17" t="n">
        <v>10</v>
      </c>
      <c r="M130" s="17" t="n">
        <v>20</v>
      </c>
      <c r="N130" s="34" t="n">
        <f aca="false">IF(D130="","",DATE(YEAR(D130),MONTH(D130),1))</f>
        <v>45474</v>
      </c>
      <c r="O130" s="35" t="n">
        <f aca="false">IF(A130="","",IF(ISNUMBER(I130),I130,0))</f>
        <v>0</v>
      </c>
      <c r="P130" s="35" t="n">
        <f aca="false">IF(A130="","",F130+O130+K130)</f>
        <v>30</v>
      </c>
      <c r="Q130" s="36" t="str">
        <f aca="false">IF(A130="","",IF(P130-L130=M130,"OK","Divergente"))</f>
        <v>OK</v>
      </c>
    </row>
    <row r="131" customFormat="false" ht="15" hidden="false" customHeight="false" outlineLevel="0" collapsed="false">
      <c r="A131" s="17" t="n">
        <v>3360</v>
      </c>
      <c r="B131" s="17" t="s">
        <v>219</v>
      </c>
      <c r="C131" s="17" t="s">
        <v>55</v>
      </c>
      <c r="D131" s="33" t="n">
        <v>45477</v>
      </c>
      <c r="E131" s="17" t="s">
        <v>48</v>
      </c>
      <c r="F131" s="17" t="n">
        <v>5</v>
      </c>
      <c r="G131" s="17" t="s">
        <v>43</v>
      </c>
      <c r="H131" s="17" t="s">
        <v>49</v>
      </c>
      <c r="I131" s="17" t="s">
        <v>92</v>
      </c>
      <c r="J131" s="17" t="s">
        <v>49</v>
      </c>
      <c r="K131" s="17" t="n">
        <v>0</v>
      </c>
      <c r="L131" s="17" t="n">
        <v>0</v>
      </c>
      <c r="M131" s="17" t="n">
        <v>5</v>
      </c>
      <c r="N131" s="34" t="n">
        <f aca="false">IF(D131="","",DATE(YEAR(D131),MONTH(D131),1))</f>
        <v>45474</v>
      </c>
      <c r="O131" s="35" t="n">
        <f aca="false">IF(A131="","",IF(ISNUMBER(I131),I131,0))</f>
        <v>0</v>
      </c>
      <c r="P131" s="35" t="n">
        <f aca="false">IF(A131="","",F131+O131+K131)</f>
        <v>5</v>
      </c>
      <c r="Q131" s="36" t="str">
        <f aca="false">IF(A131="","",IF(P131-L131=M131,"OK","Divergente"))</f>
        <v>OK</v>
      </c>
    </row>
    <row r="132" customFormat="false" ht="15" hidden="false" customHeight="false" outlineLevel="0" collapsed="false">
      <c r="A132" s="17" t="n">
        <v>3361</v>
      </c>
      <c r="B132" s="17" t="s">
        <v>220</v>
      </c>
      <c r="C132" s="17" t="s">
        <v>57</v>
      </c>
      <c r="D132" s="33" t="n">
        <v>45478</v>
      </c>
      <c r="E132" s="17" t="s">
        <v>49</v>
      </c>
      <c r="F132" s="17" t="n">
        <v>15</v>
      </c>
      <c r="G132" s="17" t="s">
        <v>42</v>
      </c>
      <c r="H132" s="17" t="s">
        <v>48</v>
      </c>
      <c r="I132" s="17" t="n">
        <v>30</v>
      </c>
      <c r="J132" s="17" t="s">
        <v>48</v>
      </c>
      <c r="K132" s="17" t="n">
        <v>20</v>
      </c>
      <c r="L132" s="17" t="n">
        <v>15</v>
      </c>
      <c r="M132" s="17" t="n">
        <v>50</v>
      </c>
      <c r="N132" s="34" t="n">
        <f aca="false">IF(D132="","",DATE(YEAR(D132),MONTH(D132),1))</f>
        <v>45474</v>
      </c>
      <c r="O132" s="35" t="n">
        <f aca="false">IF(A132="","",IF(ISNUMBER(I132),I132,0))</f>
        <v>30</v>
      </c>
      <c r="P132" s="35" t="n">
        <f aca="false">IF(A132="","",F132+O132+K132)</f>
        <v>65</v>
      </c>
      <c r="Q132" s="36" t="str">
        <f aca="false">IF(A132="","",IF(P132-L132=M132,"OK","Divergente"))</f>
        <v>OK</v>
      </c>
    </row>
    <row r="133" customFormat="false" ht="15" hidden="false" customHeight="false" outlineLevel="0" collapsed="false">
      <c r="A133" s="17" t="n">
        <v>3362</v>
      </c>
      <c r="B133" s="17" t="s">
        <v>221</v>
      </c>
      <c r="C133" s="17" t="s">
        <v>56</v>
      </c>
      <c r="D133" s="33" t="n">
        <v>45479</v>
      </c>
      <c r="E133" s="17" t="s">
        <v>48</v>
      </c>
      <c r="F133" s="17" t="n">
        <v>10</v>
      </c>
      <c r="G133" s="17" t="s">
        <v>44</v>
      </c>
      <c r="H133" s="17" t="s">
        <v>49</v>
      </c>
      <c r="I133" s="17" t="s">
        <v>92</v>
      </c>
      <c r="J133" s="17" t="s">
        <v>48</v>
      </c>
      <c r="K133" s="17" t="n">
        <v>20</v>
      </c>
      <c r="L133" s="17" t="n">
        <v>15</v>
      </c>
      <c r="M133" s="17" t="n">
        <v>15</v>
      </c>
      <c r="N133" s="34" t="n">
        <f aca="false">IF(D133="","",DATE(YEAR(D133),MONTH(D133),1))</f>
        <v>45474</v>
      </c>
      <c r="O133" s="35" t="n">
        <f aca="false">IF(A133="","",IF(ISNUMBER(I133),I133,0))</f>
        <v>0</v>
      </c>
      <c r="P133" s="35" t="n">
        <f aca="false">IF(A133="","",F133+O133+K133)</f>
        <v>30</v>
      </c>
      <c r="Q133" s="36" t="str">
        <f aca="false">IF(A133="","",IF(P133-L133=M133,"OK","Divergente"))</f>
        <v>OK</v>
      </c>
    </row>
    <row r="134" customFormat="false" ht="15" hidden="false" customHeight="false" outlineLevel="0" collapsed="false">
      <c r="A134" s="17" t="n">
        <v>3363</v>
      </c>
      <c r="B134" s="17" t="s">
        <v>222</v>
      </c>
      <c r="C134" s="17" t="s">
        <v>55</v>
      </c>
      <c r="D134" s="33" t="n">
        <v>45480</v>
      </c>
      <c r="E134" s="17" t="s">
        <v>49</v>
      </c>
      <c r="F134" s="17" t="n">
        <v>5</v>
      </c>
      <c r="G134" s="17" t="s">
        <v>42</v>
      </c>
      <c r="H134" s="17" t="s">
        <v>49</v>
      </c>
      <c r="I134" s="17" t="s">
        <v>92</v>
      </c>
      <c r="J134" s="17" t="s">
        <v>49</v>
      </c>
      <c r="K134" s="17" t="n">
        <v>0</v>
      </c>
      <c r="L134" s="17" t="n">
        <v>1</v>
      </c>
      <c r="M134" s="17" t="n">
        <v>4</v>
      </c>
      <c r="N134" s="34" t="n">
        <f aca="false">IF(D134="","",DATE(YEAR(D134),MONTH(D134),1))</f>
        <v>45474</v>
      </c>
      <c r="O134" s="35" t="n">
        <f aca="false">IF(A134="","",IF(ISNUMBER(I134),I134,0))</f>
        <v>0</v>
      </c>
      <c r="P134" s="35" t="n">
        <f aca="false">IF(A134="","",F134+O134+K134)</f>
        <v>5</v>
      </c>
      <c r="Q134" s="36" t="str">
        <f aca="false">IF(A134="","",IF(P134-L134=M134,"OK","Divergente"))</f>
        <v>OK</v>
      </c>
    </row>
    <row r="135" customFormat="false" ht="15" hidden="false" customHeight="false" outlineLevel="0" collapsed="false">
      <c r="A135" s="17" t="n">
        <v>3364</v>
      </c>
      <c r="B135" s="17" t="s">
        <v>223</v>
      </c>
      <c r="C135" s="17" t="s">
        <v>57</v>
      </c>
      <c r="D135" s="33" t="n">
        <v>45481</v>
      </c>
      <c r="E135" s="17" t="s">
        <v>48</v>
      </c>
      <c r="F135" s="17" t="n">
        <v>15</v>
      </c>
      <c r="G135" s="17" t="s">
        <v>43</v>
      </c>
      <c r="H135" s="17" t="s">
        <v>48</v>
      </c>
      <c r="I135" s="17" t="n">
        <v>30</v>
      </c>
      <c r="J135" s="17" t="s">
        <v>48</v>
      </c>
      <c r="K135" s="17" t="n">
        <v>20</v>
      </c>
      <c r="L135" s="17" t="n">
        <v>7</v>
      </c>
      <c r="M135" s="17" t="n">
        <v>58</v>
      </c>
      <c r="N135" s="34" t="n">
        <f aca="false">IF(D135="","",DATE(YEAR(D135),MONTH(D135),1))</f>
        <v>45474</v>
      </c>
      <c r="O135" s="35" t="n">
        <f aca="false">IF(A135="","",IF(ISNUMBER(I135),I135,0))</f>
        <v>30</v>
      </c>
      <c r="P135" s="35" t="n">
        <f aca="false">IF(A135="","",F135+O135+K135)</f>
        <v>65</v>
      </c>
      <c r="Q135" s="36" t="str">
        <f aca="false">IF(A135="","",IF(P135-L135=M135,"OK","Divergente"))</f>
        <v>OK</v>
      </c>
    </row>
    <row r="136" customFormat="false" ht="15" hidden="false" customHeight="false" outlineLevel="0" collapsed="false">
      <c r="A136" s="17" t="n">
        <v>3365</v>
      </c>
      <c r="B136" s="17" t="s">
        <v>224</v>
      </c>
      <c r="C136" s="17" t="s">
        <v>56</v>
      </c>
      <c r="D136" s="33" t="n">
        <v>45482</v>
      </c>
      <c r="E136" s="17" t="s">
        <v>49</v>
      </c>
      <c r="F136" s="17" t="n">
        <v>10</v>
      </c>
      <c r="G136" s="17" t="s">
        <v>42</v>
      </c>
      <c r="H136" s="17" t="s">
        <v>49</v>
      </c>
      <c r="I136" s="17" t="s">
        <v>92</v>
      </c>
      <c r="J136" s="17" t="s">
        <v>48</v>
      </c>
      <c r="K136" s="17" t="n">
        <v>20</v>
      </c>
      <c r="L136" s="17" t="n">
        <v>10</v>
      </c>
      <c r="M136" s="17" t="n">
        <v>20</v>
      </c>
      <c r="N136" s="34" t="n">
        <f aca="false">IF(D136="","",DATE(YEAR(D136),MONTH(D136),1))</f>
        <v>45474</v>
      </c>
      <c r="O136" s="35" t="n">
        <f aca="false">IF(A136="","",IF(ISNUMBER(I136),I136,0))</f>
        <v>0</v>
      </c>
      <c r="P136" s="35" t="n">
        <f aca="false">IF(A136="","",F136+O136+K136)</f>
        <v>30</v>
      </c>
      <c r="Q136" s="36" t="str">
        <f aca="false">IF(A136="","",IF(P136-L136=M136,"OK","Divergente"))</f>
        <v>OK</v>
      </c>
    </row>
    <row r="137" customFormat="false" ht="15" hidden="false" customHeight="false" outlineLevel="0" collapsed="false">
      <c r="A137" s="17" t="n">
        <v>3366</v>
      </c>
      <c r="B137" s="17" t="s">
        <v>225</v>
      </c>
      <c r="C137" s="17" t="s">
        <v>55</v>
      </c>
      <c r="D137" s="33" t="n">
        <v>45483</v>
      </c>
      <c r="E137" s="17" t="s">
        <v>48</v>
      </c>
      <c r="F137" s="17" t="n">
        <v>5</v>
      </c>
      <c r="G137" s="17" t="s">
        <v>42</v>
      </c>
      <c r="H137" s="17" t="s">
        <v>49</v>
      </c>
      <c r="I137" s="17" t="s">
        <v>92</v>
      </c>
      <c r="J137" s="17" t="s">
        <v>49</v>
      </c>
      <c r="K137" s="17" t="n">
        <v>0</v>
      </c>
      <c r="L137" s="17" t="n">
        <v>0</v>
      </c>
      <c r="M137" s="17" t="n">
        <v>5</v>
      </c>
      <c r="N137" s="34" t="n">
        <f aca="false">IF(D137="","",DATE(YEAR(D137),MONTH(D137),1))</f>
        <v>45474</v>
      </c>
      <c r="O137" s="35" t="n">
        <f aca="false">IF(A137="","",IF(ISNUMBER(I137),I137,0))</f>
        <v>0</v>
      </c>
      <c r="P137" s="35" t="n">
        <f aca="false">IF(A137="","",F137+O137+K137)</f>
        <v>5</v>
      </c>
      <c r="Q137" s="36" t="str">
        <f aca="false">IF(A137="","",IF(P137-L137=M137,"OK","Divergente"))</f>
        <v>OK</v>
      </c>
    </row>
    <row r="138" customFormat="false" ht="15" hidden="false" customHeight="false" outlineLevel="0" collapsed="false">
      <c r="A138" s="17" t="n">
        <v>3367</v>
      </c>
      <c r="B138" s="17" t="s">
        <v>226</v>
      </c>
      <c r="C138" s="17" t="s">
        <v>57</v>
      </c>
      <c r="D138" s="33" t="n">
        <v>45484</v>
      </c>
      <c r="E138" s="17" t="s">
        <v>49</v>
      </c>
      <c r="F138" s="17" t="n">
        <v>15</v>
      </c>
      <c r="G138" s="17" t="s">
        <v>43</v>
      </c>
      <c r="H138" s="17" t="s">
        <v>48</v>
      </c>
      <c r="I138" s="17" t="n">
        <v>30</v>
      </c>
      <c r="J138" s="17" t="s">
        <v>48</v>
      </c>
      <c r="K138" s="17" t="n">
        <v>20</v>
      </c>
      <c r="L138" s="17" t="n">
        <v>7</v>
      </c>
      <c r="M138" s="17" t="n">
        <v>58</v>
      </c>
      <c r="N138" s="34" t="n">
        <f aca="false">IF(D138="","",DATE(YEAR(D138),MONTH(D138),1))</f>
        <v>45474</v>
      </c>
      <c r="O138" s="35" t="n">
        <f aca="false">IF(A138="","",IF(ISNUMBER(I138),I138,0))</f>
        <v>30</v>
      </c>
      <c r="P138" s="35" t="n">
        <f aca="false">IF(A138="","",F138+O138+K138)</f>
        <v>65</v>
      </c>
      <c r="Q138" s="36" t="str">
        <f aca="false">IF(A138="","",IF(P138-L138=M138,"OK","Divergente"))</f>
        <v>OK</v>
      </c>
    </row>
    <row r="139" customFormat="false" ht="15" hidden="false" customHeight="false" outlineLevel="0" collapsed="false">
      <c r="A139" s="17" t="n">
        <v>3368</v>
      </c>
      <c r="B139" s="17" t="s">
        <v>227</v>
      </c>
      <c r="C139" s="17" t="s">
        <v>56</v>
      </c>
      <c r="D139" s="33" t="n">
        <v>45485</v>
      </c>
      <c r="E139" s="17" t="s">
        <v>48</v>
      </c>
      <c r="F139" s="17" t="n">
        <v>10</v>
      </c>
      <c r="G139" s="17" t="s">
        <v>44</v>
      </c>
      <c r="H139" s="17" t="s">
        <v>49</v>
      </c>
      <c r="I139" s="17" t="s">
        <v>92</v>
      </c>
      <c r="J139" s="17" t="s">
        <v>48</v>
      </c>
      <c r="K139" s="17" t="n">
        <v>20</v>
      </c>
      <c r="L139" s="17" t="n">
        <v>10</v>
      </c>
      <c r="M139" s="17" t="n">
        <v>20</v>
      </c>
      <c r="N139" s="34" t="n">
        <f aca="false">IF(D139="","",DATE(YEAR(D139),MONTH(D139),1))</f>
        <v>45474</v>
      </c>
      <c r="O139" s="35" t="n">
        <f aca="false">IF(A139="","",IF(ISNUMBER(I139),I139,0))</f>
        <v>0</v>
      </c>
      <c r="P139" s="35" t="n">
        <f aca="false">IF(A139="","",F139+O139+K139)</f>
        <v>30</v>
      </c>
      <c r="Q139" s="36" t="str">
        <f aca="false">IF(A139="","",IF(P139-L139=M139,"OK","Divergente"))</f>
        <v>OK</v>
      </c>
    </row>
    <row r="140" customFormat="false" ht="15" hidden="false" customHeight="false" outlineLevel="0" collapsed="false">
      <c r="A140" s="17" t="n">
        <v>3369</v>
      </c>
      <c r="B140" s="17" t="s">
        <v>228</v>
      </c>
      <c r="C140" s="17" t="s">
        <v>55</v>
      </c>
      <c r="D140" s="33" t="n">
        <v>45486</v>
      </c>
      <c r="E140" s="17" t="s">
        <v>49</v>
      </c>
      <c r="F140" s="17" t="n">
        <v>5</v>
      </c>
      <c r="G140" s="17" t="s">
        <v>43</v>
      </c>
      <c r="H140" s="17" t="s">
        <v>49</v>
      </c>
      <c r="I140" s="17" t="s">
        <v>92</v>
      </c>
      <c r="J140" s="17" t="s">
        <v>49</v>
      </c>
      <c r="K140" s="17" t="n">
        <v>0</v>
      </c>
      <c r="L140" s="17" t="n">
        <v>1</v>
      </c>
      <c r="M140" s="17" t="n">
        <v>4</v>
      </c>
      <c r="N140" s="34" t="n">
        <f aca="false">IF(D140="","",DATE(YEAR(D140),MONTH(D140),1))</f>
        <v>45474</v>
      </c>
      <c r="O140" s="35" t="n">
        <f aca="false">IF(A140="","",IF(ISNUMBER(I140),I140,0))</f>
        <v>0</v>
      </c>
      <c r="P140" s="35" t="n">
        <f aca="false">IF(A140="","",F140+O140+K140)</f>
        <v>5</v>
      </c>
      <c r="Q140" s="36" t="str">
        <f aca="false">IF(A140="","",IF(P140-L140=M140,"OK","Divergente"))</f>
        <v>OK</v>
      </c>
    </row>
    <row r="141" customFormat="false" ht="15" hidden="false" customHeight="false" outlineLevel="0" collapsed="false">
      <c r="A141" s="17" t="n">
        <v>3370</v>
      </c>
      <c r="B141" s="17" t="s">
        <v>229</v>
      </c>
      <c r="C141" s="17" t="s">
        <v>57</v>
      </c>
      <c r="D141" s="33" t="n">
        <v>45487</v>
      </c>
      <c r="E141" s="17" t="s">
        <v>48</v>
      </c>
      <c r="F141" s="17" t="n">
        <v>15</v>
      </c>
      <c r="G141" s="17" t="s">
        <v>42</v>
      </c>
      <c r="H141" s="17" t="s">
        <v>48</v>
      </c>
      <c r="I141" s="17" t="n">
        <v>30</v>
      </c>
      <c r="J141" s="17" t="s">
        <v>48</v>
      </c>
      <c r="K141" s="17" t="n">
        <v>20</v>
      </c>
      <c r="L141" s="17" t="n">
        <v>15</v>
      </c>
      <c r="M141" s="17" t="n">
        <v>50</v>
      </c>
      <c r="N141" s="34" t="n">
        <f aca="false">IF(D141="","",DATE(YEAR(D141),MONTH(D141),1))</f>
        <v>45474</v>
      </c>
      <c r="O141" s="35" t="n">
        <f aca="false">IF(A141="","",IF(ISNUMBER(I141),I141,0))</f>
        <v>30</v>
      </c>
      <c r="P141" s="35" t="n">
        <f aca="false">IF(A141="","",F141+O141+K141)</f>
        <v>65</v>
      </c>
      <c r="Q141" s="36" t="str">
        <f aca="false">IF(A141="","",IF(P141-L141=M141,"OK","Divergente"))</f>
        <v>OK</v>
      </c>
    </row>
    <row r="142" customFormat="false" ht="15" hidden="false" customHeight="false" outlineLevel="0" collapsed="false">
      <c r="A142" s="17" t="n">
        <v>3371</v>
      </c>
      <c r="B142" s="17" t="s">
        <v>230</v>
      </c>
      <c r="C142" s="17" t="s">
        <v>56</v>
      </c>
      <c r="D142" s="33" t="n">
        <v>45488</v>
      </c>
      <c r="E142" s="17" t="s">
        <v>49</v>
      </c>
      <c r="F142" s="17" t="n">
        <v>10</v>
      </c>
      <c r="G142" s="17" t="s">
        <v>42</v>
      </c>
      <c r="H142" s="17" t="s">
        <v>49</v>
      </c>
      <c r="I142" s="17" t="s">
        <v>92</v>
      </c>
      <c r="J142" s="17" t="s">
        <v>48</v>
      </c>
      <c r="K142" s="17" t="n">
        <v>20</v>
      </c>
      <c r="L142" s="17" t="n">
        <v>5</v>
      </c>
      <c r="M142" s="17" t="n">
        <v>25</v>
      </c>
      <c r="N142" s="34" t="n">
        <f aca="false">IF(D142="","",DATE(YEAR(D142),MONTH(D142),1))</f>
        <v>45474</v>
      </c>
      <c r="O142" s="35" t="n">
        <f aca="false">IF(A142="","",IF(ISNUMBER(I142),I142,0))</f>
        <v>0</v>
      </c>
      <c r="P142" s="35" t="n">
        <f aca="false">IF(A142="","",F142+O142+K142)</f>
        <v>30</v>
      </c>
      <c r="Q142" s="36" t="str">
        <f aca="false">IF(A142="","",IF(P142-L142=M142,"OK","Divergente"))</f>
        <v>OK</v>
      </c>
    </row>
    <row r="143" customFormat="false" ht="15" hidden="false" customHeight="false" outlineLevel="0" collapsed="false">
      <c r="A143" s="17" t="n">
        <v>3372</v>
      </c>
      <c r="B143" s="17" t="s">
        <v>231</v>
      </c>
      <c r="C143" s="17" t="s">
        <v>55</v>
      </c>
      <c r="D143" s="33" t="n">
        <v>45489</v>
      </c>
      <c r="E143" s="17" t="s">
        <v>48</v>
      </c>
      <c r="F143" s="17" t="n">
        <v>5</v>
      </c>
      <c r="G143" s="17" t="s">
        <v>44</v>
      </c>
      <c r="H143" s="17" t="s">
        <v>49</v>
      </c>
      <c r="I143" s="17" t="s">
        <v>92</v>
      </c>
      <c r="J143" s="17" t="s">
        <v>49</v>
      </c>
      <c r="K143" s="17" t="n">
        <v>0</v>
      </c>
      <c r="L143" s="17" t="n">
        <v>0</v>
      </c>
      <c r="M143" s="17" t="n">
        <v>5</v>
      </c>
      <c r="N143" s="34" t="n">
        <f aca="false">IF(D143="","",DATE(YEAR(D143),MONTH(D143),1))</f>
        <v>45474</v>
      </c>
      <c r="O143" s="35" t="n">
        <f aca="false">IF(A143="","",IF(ISNUMBER(I143),I143,0))</f>
        <v>0</v>
      </c>
      <c r="P143" s="35" t="n">
        <f aca="false">IF(A143="","",F143+O143+K143)</f>
        <v>5</v>
      </c>
      <c r="Q143" s="36" t="str">
        <f aca="false">IF(A143="","",IF(P143-L143=M143,"OK","Divergente"))</f>
        <v>OK</v>
      </c>
    </row>
    <row r="144" customFormat="false" ht="15" hidden="false" customHeight="false" outlineLevel="0" collapsed="false">
      <c r="A144" s="17" t="n">
        <v>3373</v>
      </c>
      <c r="B144" s="17" t="s">
        <v>232</v>
      </c>
      <c r="C144" s="17" t="s">
        <v>57</v>
      </c>
      <c r="D144" s="33" t="n">
        <v>45490</v>
      </c>
      <c r="E144" s="17" t="s">
        <v>49</v>
      </c>
      <c r="F144" s="17" t="n">
        <v>15</v>
      </c>
      <c r="G144" s="17" t="s">
        <v>43</v>
      </c>
      <c r="H144" s="17" t="s">
        <v>48</v>
      </c>
      <c r="I144" s="17" t="n">
        <v>30</v>
      </c>
      <c r="J144" s="17" t="s">
        <v>48</v>
      </c>
      <c r="K144" s="17" t="n">
        <v>20</v>
      </c>
      <c r="L144" s="17" t="n">
        <v>20</v>
      </c>
      <c r="M144" s="17" t="n">
        <v>45</v>
      </c>
      <c r="N144" s="34" t="n">
        <f aca="false">IF(D144="","",DATE(YEAR(D144),MONTH(D144),1))</f>
        <v>45474</v>
      </c>
      <c r="O144" s="35" t="n">
        <f aca="false">IF(A144="","",IF(ISNUMBER(I144),I144,0))</f>
        <v>30</v>
      </c>
      <c r="P144" s="35" t="n">
        <f aca="false">IF(A144="","",F144+O144+K144)</f>
        <v>65</v>
      </c>
      <c r="Q144" s="36" t="str">
        <f aca="false">IF(A144="","",IF(P144-L144=M144,"OK","Divergente"))</f>
        <v>OK</v>
      </c>
    </row>
    <row r="145" customFormat="false" ht="15" hidden="false" customHeight="false" outlineLevel="0" collapsed="false">
      <c r="A145" s="17" t="n">
        <v>3374</v>
      </c>
      <c r="B145" s="17" t="s">
        <v>233</v>
      </c>
      <c r="C145" s="17" t="s">
        <v>56</v>
      </c>
      <c r="D145" s="33" t="n">
        <v>45491</v>
      </c>
      <c r="E145" s="17" t="s">
        <v>48</v>
      </c>
      <c r="F145" s="17" t="n">
        <v>10</v>
      </c>
      <c r="G145" s="17" t="s">
        <v>43</v>
      </c>
      <c r="H145" s="17" t="s">
        <v>49</v>
      </c>
      <c r="I145" s="17" t="s">
        <v>92</v>
      </c>
      <c r="J145" s="17" t="s">
        <v>48</v>
      </c>
      <c r="K145" s="17" t="n">
        <v>20</v>
      </c>
      <c r="L145" s="17" t="n">
        <v>12</v>
      </c>
      <c r="M145" s="17" t="n">
        <v>18</v>
      </c>
      <c r="N145" s="34" t="n">
        <f aca="false">IF(D145="","",DATE(YEAR(D145),MONTH(D145),1))</f>
        <v>45474</v>
      </c>
      <c r="O145" s="35" t="n">
        <f aca="false">IF(A145="","",IF(ISNUMBER(I145),I145,0))</f>
        <v>0</v>
      </c>
      <c r="P145" s="35" t="n">
        <f aca="false">IF(A145="","",F145+O145+K145)</f>
        <v>30</v>
      </c>
      <c r="Q145" s="36" t="str">
        <f aca="false">IF(A145="","",IF(P145-L145=M145,"OK","Divergente"))</f>
        <v>OK</v>
      </c>
    </row>
    <row r="146" customFormat="false" ht="15" hidden="false" customHeight="false" outlineLevel="0" collapsed="false">
      <c r="A146" s="17" t="n">
        <v>3375</v>
      </c>
      <c r="B146" s="17" t="s">
        <v>234</v>
      </c>
      <c r="C146" s="17" t="s">
        <v>55</v>
      </c>
      <c r="D146" s="33" t="n">
        <v>45492</v>
      </c>
      <c r="E146" s="17" t="s">
        <v>49</v>
      </c>
      <c r="F146" s="17" t="n">
        <v>5</v>
      </c>
      <c r="G146" s="17" t="s">
        <v>42</v>
      </c>
      <c r="H146" s="17" t="s">
        <v>49</v>
      </c>
      <c r="I146" s="17" t="s">
        <v>92</v>
      </c>
      <c r="J146" s="17" t="s">
        <v>49</v>
      </c>
      <c r="K146" s="17" t="n">
        <v>0</v>
      </c>
      <c r="L146" s="17" t="n">
        <v>2</v>
      </c>
      <c r="M146" s="17" t="n">
        <v>3</v>
      </c>
      <c r="N146" s="34" t="n">
        <f aca="false">IF(D146="","",DATE(YEAR(D146),MONTH(D146),1))</f>
        <v>45474</v>
      </c>
      <c r="O146" s="35" t="n">
        <f aca="false">IF(A146="","",IF(ISNUMBER(I146),I146,0))</f>
        <v>0</v>
      </c>
      <c r="P146" s="35" t="n">
        <f aca="false">IF(A146="","",F146+O146+K146)</f>
        <v>5</v>
      </c>
      <c r="Q146" s="36" t="str">
        <f aca="false">IF(A146="","",IF(P146-L146=M146,"OK","Divergente"))</f>
        <v>OK</v>
      </c>
    </row>
    <row r="147" customFormat="false" ht="15" hidden="false" customHeight="false" outlineLevel="0" collapsed="false">
      <c r="A147" s="17" t="n">
        <v>3376</v>
      </c>
      <c r="B147" s="17" t="s">
        <v>235</v>
      </c>
      <c r="C147" s="17" t="s">
        <v>57</v>
      </c>
      <c r="D147" s="33" t="n">
        <v>45493</v>
      </c>
      <c r="E147" s="17" t="s">
        <v>48</v>
      </c>
      <c r="F147" s="17" t="n">
        <v>15</v>
      </c>
      <c r="G147" s="17" t="s">
        <v>44</v>
      </c>
      <c r="H147" s="17" t="s">
        <v>48</v>
      </c>
      <c r="I147" s="17" t="n">
        <v>30</v>
      </c>
      <c r="J147" s="17" t="s">
        <v>48</v>
      </c>
      <c r="K147" s="17" t="n">
        <v>20</v>
      </c>
      <c r="L147" s="17" t="n">
        <v>5</v>
      </c>
      <c r="M147" s="17" t="n">
        <v>60</v>
      </c>
      <c r="N147" s="34" t="n">
        <f aca="false">IF(D147="","",DATE(YEAR(D147),MONTH(D147),1))</f>
        <v>45474</v>
      </c>
      <c r="O147" s="35" t="n">
        <f aca="false">IF(A147="","",IF(ISNUMBER(I147),I147,0))</f>
        <v>30</v>
      </c>
      <c r="P147" s="35" t="n">
        <f aca="false">IF(A147="","",F147+O147+K147)</f>
        <v>65</v>
      </c>
      <c r="Q147" s="36" t="str">
        <f aca="false">IF(A147="","",IF(P147-L147=M147,"OK","Divergente"))</f>
        <v>OK</v>
      </c>
    </row>
    <row r="148" customFormat="false" ht="15" hidden="false" customHeight="false" outlineLevel="0" collapsed="false">
      <c r="A148" s="17" t="n">
        <v>3377</v>
      </c>
      <c r="B148" s="17" t="s">
        <v>236</v>
      </c>
      <c r="C148" s="17" t="s">
        <v>56</v>
      </c>
      <c r="D148" s="33" t="n">
        <v>45494</v>
      </c>
      <c r="E148" s="17" t="s">
        <v>49</v>
      </c>
      <c r="F148" s="17" t="n">
        <v>10</v>
      </c>
      <c r="G148" s="17" t="s">
        <v>42</v>
      </c>
      <c r="H148" s="17" t="s">
        <v>49</v>
      </c>
      <c r="I148" s="17" t="s">
        <v>92</v>
      </c>
      <c r="J148" s="17" t="s">
        <v>48</v>
      </c>
      <c r="K148" s="17" t="n">
        <v>20</v>
      </c>
      <c r="L148" s="17" t="n">
        <v>10</v>
      </c>
      <c r="M148" s="17" t="n">
        <v>20</v>
      </c>
      <c r="N148" s="34" t="n">
        <f aca="false">IF(D148="","",DATE(YEAR(D148),MONTH(D148),1))</f>
        <v>45474</v>
      </c>
      <c r="O148" s="35" t="n">
        <f aca="false">IF(A148="","",IF(ISNUMBER(I148),I148,0))</f>
        <v>0</v>
      </c>
      <c r="P148" s="35" t="n">
        <f aca="false">IF(A148="","",F148+O148+K148)</f>
        <v>30</v>
      </c>
      <c r="Q148" s="36" t="str">
        <f aca="false">IF(A148="","",IF(P148-L148=M148,"OK","Divergente"))</f>
        <v>OK</v>
      </c>
    </row>
    <row r="149" customFormat="false" ht="15" hidden="false" customHeight="false" outlineLevel="0" collapsed="false">
      <c r="A149" s="17" t="n">
        <v>3378</v>
      </c>
      <c r="B149" s="17" t="s">
        <v>237</v>
      </c>
      <c r="C149" s="17" t="s">
        <v>55</v>
      </c>
      <c r="D149" s="33" t="n">
        <v>45495</v>
      </c>
      <c r="E149" s="17" t="s">
        <v>48</v>
      </c>
      <c r="F149" s="17" t="n">
        <v>5</v>
      </c>
      <c r="G149" s="17" t="s">
        <v>43</v>
      </c>
      <c r="H149" s="17" t="s">
        <v>49</v>
      </c>
      <c r="I149" s="17" t="s">
        <v>92</v>
      </c>
      <c r="J149" s="17" t="s">
        <v>49</v>
      </c>
      <c r="K149" s="17" t="n">
        <v>0</v>
      </c>
      <c r="L149" s="17" t="n">
        <v>0</v>
      </c>
      <c r="M149" s="17" t="n">
        <v>5</v>
      </c>
      <c r="N149" s="34" t="n">
        <f aca="false">IF(D149="","",DATE(YEAR(D149),MONTH(D149),1))</f>
        <v>45474</v>
      </c>
      <c r="O149" s="35" t="n">
        <f aca="false">IF(A149="","",IF(ISNUMBER(I149),I149,0))</f>
        <v>0</v>
      </c>
      <c r="P149" s="35" t="n">
        <f aca="false">IF(A149="","",F149+O149+K149)</f>
        <v>5</v>
      </c>
      <c r="Q149" s="36" t="str">
        <f aca="false">IF(A149="","",IF(P149-L149=M149,"OK","Divergente"))</f>
        <v>OK</v>
      </c>
    </row>
    <row r="150" customFormat="false" ht="15" hidden="false" customHeight="false" outlineLevel="0" collapsed="false">
      <c r="A150" s="17" t="n">
        <v>3379</v>
      </c>
      <c r="B150" s="17" t="s">
        <v>238</v>
      </c>
      <c r="C150" s="17" t="s">
        <v>57</v>
      </c>
      <c r="D150" s="33" t="n">
        <v>45496</v>
      </c>
      <c r="E150" s="17" t="s">
        <v>49</v>
      </c>
      <c r="F150" s="17" t="n">
        <v>15</v>
      </c>
      <c r="G150" s="17" t="s">
        <v>42</v>
      </c>
      <c r="H150" s="17" t="s">
        <v>48</v>
      </c>
      <c r="I150" s="17" t="n">
        <v>30</v>
      </c>
      <c r="J150" s="17" t="s">
        <v>48</v>
      </c>
      <c r="K150" s="17" t="n">
        <v>20</v>
      </c>
      <c r="L150" s="17" t="n">
        <v>3</v>
      </c>
      <c r="M150" s="17" t="n">
        <v>62</v>
      </c>
      <c r="N150" s="34" t="n">
        <f aca="false">IF(D150="","",DATE(YEAR(D150),MONTH(D150),1))</f>
        <v>45474</v>
      </c>
      <c r="O150" s="35" t="n">
        <f aca="false">IF(A150="","",IF(ISNUMBER(I150),I150,0))</f>
        <v>30</v>
      </c>
      <c r="P150" s="35" t="n">
        <f aca="false">IF(A150="","",F150+O150+K150)</f>
        <v>65</v>
      </c>
      <c r="Q150" s="36" t="str">
        <f aca="false">IF(A150="","",IF(P150-L150=M150,"OK","Divergente"))</f>
        <v>OK</v>
      </c>
    </row>
    <row r="151" customFormat="false" ht="15" hidden="false" customHeight="false" outlineLevel="0" collapsed="false">
      <c r="A151" s="17" t="n">
        <v>3380</v>
      </c>
      <c r="B151" s="17" t="s">
        <v>239</v>
      </c>
      <c r="C151" s="17" t="s">
        <v>56</v>
      </c>
      <c r="D151" s="33" t="n">
        <v>45497</v>
      </c>
      <c r="E151" s="17" t="s">
        <v>48</v>
      </c>
      <c r="F151" s="17" t="n">
        <v>10</v>
      </c>
      <c r="G151" s="17" t="s">
        <v>44</v>
      </c>
      <c r="H151" s="17" t="s">
        <v>49</v>
      </c>
      <c r="I151" s="17" t="s">
        <v>92</v>
      </c>
      <c r="J151" s="17" t="s">
        <v>48</v>
      </c>
      <c r="K151" s="17" t="n">
        <v>20</v>
      </c>
      <c r="L151" s="17" t="n">
        <v>15</v>
      </c>
      <c r="M151" s="17" t="n">
        <v>15</v>
      </c>
      <c r="N151" s="34" t="n">
        <f aca="false">IF(D151="","",DATE(YEAR(D151),MONTH(D151),1))</f>
        <v>45474</v>
      </c>
      <c r="O151" s="35" t="n">
        <f aca="false">IF(A151="","",IF(ISNUMBER(I151),I151,0))</f>
        <v>0</v>
      </c>
      <c r="P151" s="35" t="n">
        <f aca="false">IF(A151="","",F151+O151+K151)</f>
        <v>30</v>
      </c>
      <c r="Q151" s="36" t="str">
        <f aca="false">IF(A151="","",IF(P151-L151=M151,"OK","Divergente"))</f>
        <v>OK</v>
      </c>
    </row>
    <row r="152" customFormat="false" ht="15" hidden="false" customHeight="false" outlineLevel="0" collapsed="false">
      <c r="A152" s="17" t="n">
        <v>3381</v>
      </c>
      <c r="B152" s="17" t="s">
        <v>240</v>
      </c>
      <c r="C152" s="17" t="s">
        <v>55</v>
      </c>
      <c r="D152" s="33" t="n">
        <v>45498</v>
      </c>
      <c r="E152" s="17" t="s">
        <v>49</v>
      </c>
      <c r="F152" s="17" t="n">
        <v>5</v>
      </c>
      <c r="G152" s="17" t="s">
        <v>42</v>
      </c>
      <c r="H152" s="17" t="s">
        <v>49</v>
      </c>
      <c r="I152" s="17" t="s">
        <v>92</v>
      </c>
      <c r="J152" s="17" t="s">
        <v>49</v>
      </c>
      <c r="K152" s="17" t="n">
        <v>0</v>
      </c>
      <c r="L152" s="17" t="n">
        <v>1</v>
      </c>
      <c r="M152" s="17" t="n">
        <v>4</v>
      </c>
      <c r="N152" s="34" t="n">
        <f aca="false">IF(D152="","",DATE(YEAR(D152),MONTH(D152),1))</f>
        <v>45474</v>
      </c>
      <c r="O152" s="35" t="n">
        <f aca="false">IF(A152="","",IF(ISNUMBER(I152),I152,0))</f>
        <v>0</v>
      </c>
      <c r="P152" s="35" t="n">
        <f aca="false">IF(A152="","",F152+O152+K152)</f>
        <v>5</v>
      </c>
      <c r="Q152" s="36" t="str">
        <f aca="false">IF(A152="","",IF(P152-L152=M152,"OK","Divergente"))</f>
        <v>OK</v>
      </c>
    </row>
    <row r="153" customFormat="false" ht="15" hidden="false" customHeight="false" outlineLevel="0" collapsed="false">
      <c r="A153" s="17" t="n">
        <v>3382</v>
      </c>
      <c r="B153" s="17" t="s">
        <v>241</v>
      </c>
      <c r="C153" s="17" t="s">
        <v>57</v>
      </c>
      <c r="D153" s="33" t="n">
        <v>45499</v>
      </c>
      <c r="E153" s="17" t="s">
        <v>48</v>
      </c>
      <c r="F153" s="17" t="n">
        <v>15</v>
      </c>
      <c r="G153" s="17" t="s">
        <v>43</v>
      </c>
      <c r="H153" s="17" t="s">
        <v>48</v>
      </c>
      <c r="I153" s="17" t="n">
        <v>30</v>
      </c>
      <c r="J153" s="17" t="s">
        <v>48</v>
      </c>
      <c r="K153" s="17" t="n">
        <v>20</v>
      </c>
      <c r="L153" s="17" t="n">
        <v>7</v>
      </c>
      <c r="M153" s="17" t="n">
        <v>58</v>
      </c>
      <c r="N153" s="34" t="n">
        <f aca="false">IF(D153="","",DATE(YEAR(D153),MONTH(D153),1))</f>
        <v>45474</v>
      </c>
      <c r="O153" s="35" t="n">
        <f aca="false">IF(A153="","",IF(ISNUMBER(I153),I153,0))</f>
        <v>30</v>
      </c>
      <c r="P153" s="35" t="n">
        <f aca="false">IF(A153="","",F153+O153+K153)</f>
        <v>65</v>
      </c>
      <c r="Q153" s="36" t="str">
        <f aca="false">IF(A153="","",IF(P153-L153=M153,"OK","Divergente"))</f>
        <v>OK</v>
      </c>
    </row>
    <row r="154" customFormat="false" ht="15" hidden="false" customHeight="false" outlineLevel="0" collapsed="false">
      <c r="A154" s="17" t="n">
        <v>3383</v>
      </c>
      <c r="B154" s="17" t="s">
        <v>242</v>
      </c>
      <c r="C154" s="17" t="s">
        <v>56</v>
      </c>
      <c r="D154" s="33" t="n">
        <v>45500</v>
      </c>
      <c r="E154" s="17" t="s">
        <v>49</v>
      </c>
      <c r="F154" s="17" t="n">
        <v>10</v>
      </c>
      <c r="G154" s="17" t="s">
        <v>42</v>
      </c>
      <c r="H154" s="17" t="s">
        <v>49</v>
      </c>
      <c r="I154" s="17" t="s">
        <v>92</v>
      </c>
      <c r="J154" s="17" t="s">
        <v>48</v>
      </c>
      <c r="K154" s="17" t="n">
        <v>20</v>
      </c>
      <c r="L154" s="17" t="n">
        <v>10</v>
      </c>
      <c r="M154" s="17" t="n">
        <v>20</v>
      </c>
      <c r="N154" s="34" t="n">
        <f aca="false">IF(D154="","",DATE(YEAR(D154),MONTH(D154),1))</f>
        <v>45474</v>
      </c>
      <c r="O154" s="35" t="n">
        <f aca="false">IF(A154="","",IF(ISNUMBER(I154),I154,0))</f>
        <v>0</v>
      </c>
      <c r="P154" s="35" t="n">
        <f aca="false">IF(A154="","",F154+O154+K154)</f>
        <v>30</v>
      </c>
      <c r="Q154" s="36" t="str">
        <f aca="false">IF(A154="","",IF(P154-L154=M154,"OK","Divergente"))</f>
        <v>OK</v>
      </c>
    </row>
    <row r="155" customFormat="false" ht="15" hidden="false" customHeight="false" outlineLevel="0" collapsed="false">
      <c r="A155" s="17" t="n">
        <v>3384</v>
      </c>
      <c r="B155" s="17" t="s">
        <v>243</v>
      </c>
      <c r="C155" s="17" t="s">
        <v>55</v>
      </c>
      <c r="D155" s="33" t="n">
        <v>45501</v>
      </c>
      <c r="E155" s="17" t="s">
        <v>48</v>
      </c>
      <c r="F155" s="17" t="n">
        <v>5</v>
      </c>
      <c r="G155" s="17" t="s">
        <v>44</v>
      </c>
      <c r="H155" s="17" t="s">
        <v>49</v>
      </c>
      <c r="I155" s="17" t="s">
        <v>92</v>
      </c>
      <c r="J155" s="17" t="s">
        <v>49</v>
      </c>
      <c r="K155" s="17" t="n">
        <v>0</v>
      </c>
      <c r="L155" s="17" t="n">
        <v>0</v>
      </c>
      <c r="M155" s="17" t="n">
        <v>5</v>
      </c>
      <c r="N155" s="34" t="n">
        <f aca="false">IF(D155="","",DATE(YEAR(D155),MONTH(D155),1))</f>
        <v>45474</v>
      </c>
      <c r="O155" s="35" t="n">
        <f aca="false">IF(A155="","",IF(ISNUMBER(I155),I155,0))</f>
        <v>0</v>
      </c>
      <c r="P155" s="35" t="n">
        <f aca="false">IF(A155="","",F155+O155+K155)</f>
        <v>5</v>
      </c>
      <c r="Q155" s="36" t="str">
        <f aca="false">IF(A155="","",IF(P155-L155=M155,"OK","Divergente"))</f>
        <v>OK</v>
      </c>
    </row>
    <row r="156" customFormat="false" ht="15" hidden="false" customHeight="false" outlineLevel="0" collapsed="false">
      <c r="A156" s="17" t="n">
        <v>3385</v>
      </c>
      <c r="B156" s="17" t="s">
        <v>244</v>
      </c>
      <c r="C156" s="17" t="s">
        <v>57</v>
      </c>
      <c r="D156" s="33" t="n">
        <v>45502</v>
      </c>
      <c r="E156" s="17" t="s">
        <v>49</v>
      </c>
      <c r="F156" s="17" t="n">
        <v>15</v>
      </c>
      <c r="G156" s="17" t="s">
        <v>42</v>
      </c>
      <c r="H156" s="17" t="s">
        <v>48</v>
      </c>
      <c r="I156" s="17" t="n">
        <v>30</v>
      </c>
      <c r="J156" s="17" t="s">
        <v>48</v>
      </c>
      <c r="K156" s="17" t="n">
        <v>20</v>
      </c>
      <c r="L156" s="17" t="n">
        <v>20</v>
      </c>
      <c r="M156" s="17" t="n">
        <v>45</v>
      </c>
      <c r="N156" s="34" t="n">
        <f aca="false">IF(D156="","",DATE(YEAR(D156),MONTH(D156),1))</f>
        <v>45474</v>
      </c>
      <c r="O156" s="35" t="n">
        <f aca="false">IF(A156="","",IF(ISNUMBER(I156),I156,0))</f>
        <v>30</v>
      </c>
      <c r="P156" s="35" t="n">
        <f aca="false">IF(A156="","",F156+O156+K156)</f>
        <v>65</v>
      </c>
      <c r="Q156" s="36" t="str">
        <f aca="false">IF(A156="","",IF(P156-L156=M156,"OK","Divergente"))</f>
        <v>OK</v>
      </c>
    </row>
    <row r="157" customFormat="false" ht="15" hidden="false" customHeight="false" outlineLevel="0" collapsed="false">
      <c r="A157" s="17" t="n">
        <v>3386</v>
      </c>
      <c r="B157" s="17" t="s">
        <v>245</v>
      </c>
      <c r="C157" s="17" t="s">
        <v>56</v>
      </c>
      <c r="D157" s="33" t="n">
        <v>45503</v>
      </c>
      <c r="E157" s="17" t="s">
        <v>48</v>
      </c>
      <c r="F157" s="17" t="n">
        <v>10</v>
      </c>
      <c r="G157" s="17" t="s">
        <v>43</v>
      </c>
      <c r="H157" s="17" t="s">
        <v>49</v>
      </c>
      <c r="I157" s="17" t="s">
        <v>92</v>
      </c>
      <c r="J157" s="17" t="s">
        <v>48</v>
      </c>
      <c r="K157" s="17" t="n">
        <v>20</v>
      </c>
      <c r="L157" s="17" t="n">
        <v>15</v>
      </c>
      <c r="M157" s="17" t="n">
        <v>15</v>
      </c>
      <c r="N157" s="34" t="n">
        <f aca="false">IF(D157="","",DATE(YEAR(D157),MONTH(D157),1))</f>
        <v>45474</v>
      </c>
      <c r="O157" s="35" t="n">
        <f aca="false">IF(A157="","",IF(ISNUMBER(I157),I157,0))</f>
        <v>0</v>
      </c>
      <c r="P157" s="35" t="n">
        <f aca="false">IF(A157="","",F157+O157+K157)</f>
        <v>30</v>
      </c>
      <c r="Q157" s="36" t="str">
        <f aca="false">IF(A157="","",IF(P157-L157=M157,"OK","Divergente"))</f>
        <v>OK</v>
      </c>
    </row>
    <row r="158" customFormat="false" ht="15" hidden="false" customHeight="false" outlineLevel="0" collapsed="false">
      <c r="A158" s="17" t="n">
        <v>3387</v>
      </c>
      <c r="B158" s="17" t="s">
        <v>246</v>
      </c>
      <c r="C158" s="17" t="s">
        <v>55</v>
      </c>
      <c r="D158" s="33" t="n">
        <v>45504</v>
      </c>
      <c r="E158" s="17" t="s">
        <v>49</v>
      </c>
      <c r="F158" s="17" t="n">
        <v>5</v>
      </c>
      <c r="G158" s="17" t="s">
        <v>42</v>
      </c>
      <c r="H158" s="17" t="s">
        <v>49</v>
      </c>
      <c r="I158" s="17" t="s">
        <v>92</v>
      </c>
      <c r="J158" s="17" t="s">
        <v>49</v>
      </c>
      <c r="K158" s="17" t="n">
        <v>0</v>
      </c>
      <c r="L158" s="17" t="n">
        <v>1</v>
      </c>
      <c r="M158" s="17" t="n">
        <v>4</v>
      </c>
      <c r="N158" s="34" t="n">
        <f aca="false">IF(D158="","",DATE(YEAR(D158),MONTH(D158),1))</f>
        <v>45474</v>
      </c>
      <c r="O158" s="35" t="n">
        <f aca="false">IF(A158="","",IF(ISNUMBER(I158),I158,0))</f>
        <v>0</v>
      </c>
      <c r="P158" s="35" t="n">
        <f aca="false">IF(A158="","",F158+O158+K158)</f>
        <v>5</v>
      </c>
      <c r="Q158" s="36" t="str">
        <f aca="false">IF(A158="","",IF(P158-L158=M158,"OK","Divergente"))</f>
        <v>OK</v>
      </c>
    </row>
    <row r="159" customFormat="false" ht="15" hidden="false" customHeight="false" outlineLevel="0" collapsed="false">
      <c r="A159" s="17" t="n">
        <v>3388</v>
      </c>
      <c r="B159" s="17" t="s">
        <v>247</v>
      </c>
      <c r="C159" s="17" t="s">
        <v>57</v>
      </c>
      <c r="D159" s="33" t="n">
        <v>45505</v>
      </c>
      <c r="E159" s="17" t="s">
        <v>48</v>
      </c>
      <c r="F159" s="17" t="n">
        <v>15</v>
      </c>
      <c r="G159" s="17" t="s">
        <v>44</v>
      </c>
      <c r="H159" s="17" t="s">
        <v>48</v>
      </c>
      <c r="I159" s="17" t="n">
        <v>30</v>
      </c>
      <c r="J159" s="17" t="s">
        <v>48</v>
      </c>
      <c r="K159" s="17" t="n">
        <v>20</v>
      </c>
      <c r="L159" s="17" t="n">
        <v>3</v>
      </c>
      <c r="M159" s="17" t="n">
        <v>62</v>
      </c>
      <c r="N159" s="34" t="n">
        <f aca="false">IF(D159="","",DATE(YEAR(D159),MONTH(D159),1))</f>
        <v>45505</v>
      </c>
      <c r="O159" s="35" t="n">
        <f aca="false">IF(A159="","",IF(ISNUMBER(I159),I159,0))</f>
        <v>30</v>
      </c>
      <c r="P159" s="35" t="n">
        <f aca="false">IF(A159="","",F159+O159+K159)</f>
        <v>65</v>
      </c>
      <c r="Q159" s="36" t="str">
        <f aca="false">IF(A159="","",IF(P159-L159=M159,"OK","Divergente"))</f>
        <v>OK</v>
      </c>
    </row>
    <row r="160" customFormat="false" ht="15" hidden="false" customHeight="false" outlineLevel="0" collapsed="false">
      <c r="A160" s="17" t="n">
        <v>3389</v>
      </c>
      <c r="B160" s="17" t="s">
        <v>248</v>
      </c>
      <c r="C160" s="17" t="s">
        <v>56</v>
      </c>
      <c r="D160" s="33" t="n">
        <v>45506</v>
      </c>
      <c r="E160" s="17" t="s">
        <v>49</v>
      </c>
      <c r="F160" s="17" t="n">
        <v>10</v>
      </c>
      <c r="G160" s="17" t="s">
        <v>42</v>
      </c>
      <c r="H160" s="17" t="s">
        <v>49</v>
      </c>
      <c r="I160" s="17" t="s">
        <v>92</v>
      </c>
      <c r="J160" s="17" t="s">
        <v>48</v>
      </c>
      <c r="K160" s="17" t="n">
        <v>20</v>
      </c>
      <c r="L160" s="17" t="n">
        <v>10</v>
      </c>
      <c r="M160" s="17" t="n">
        <v>20</v>
      </c>
      <c r="N160" s="34" t="n">
        <f aca="false">IF(D160="","",DATE(YEAR(D160),MONTH(D160),1))</f>
        <v>45505</v>
      </c>
      <c r="O160" s="35" t="n">
        <f aca="false">IF(A160="","",IF(ISNUMBER(I160),I160,0))</f>
        <v>0</v>
      </c>
      <c r="P160" s="35" t="n">
        <f aca="false">IF(A160="","",F160+O160+K160)</f>
        <v>30</v>
      </c>
      <c r="Q160" s="36" t="str">
        <f aca="false">IF(A160="","",IF(P160-L160=M160,"OK","Divergente"))</f>
        <v>OK</v>
      </c>
    </row>
    <row r="161" customFormat="false" ht="15" hidden="false" customHeight="false" outlineLevel="0" collapsed="false">
      <c r="A161" s="17" t="n">
        <v>3390</v>
      </c>
      <c r="B161" s="17" t="s">
        <v>249</v>
      </c>
      <c r="C161" s="17" t="s">
        <v>55</v>
      </c>
      <c r="D161" s="33" t="n">
        <v>45507</v>
      </c>
      <c r="E161" s="17" t="s">
        <v>48</v>
      </c>
      <c r="F161" s="17" t="n">
        <v>5</v>
      </c>
      <c r="G161" s="17" t="s">
        <v>43</v>
      </c>
      <c r="H161" s="17" t="s">
        <v>49</v>
      </c>
      <c r="I161" s="17" t="s">
        <v>92</v>
      </c>
      <c r="J161" s="17" t="s">
        <v>49</v>
      </c>
      <c r="K161" s="17" t="n">
        <v>0</v>
      </c>
      <c r="L161" s="17" t="n">
        <v>0</v>
      </c>
      <c r="M161" s="17" t="n">
        <v>5</v>
      </c>
      <c r="N161" s="34" t="n">
        <f aca="false">IF(D161="","",DATE(YEAR(D161),MONTH(D161),1))</f>
        <v>45505</v>
      </c>
      <c r="O161" s="35" t="n">
        <f aca="false">IF(A161="","",IF(ISNUMBER(I161),I161,0))</f>
        <v>0</v>
      </c>
      <c r="P161" s="35" t="n">
        <f aca="false">IF(A161="","",F161+O161+K161)</f>
        <v>5</v>
      </c>
      <c r="Q161" s="36" t="str">
        <f aca="false">IF(A161="","",IF(P161-L161=M161,"OK","Divergente"))</f>
        <v>OK</v>
      </c>
    </row>
    <row r="162" customFormat="false" ht="15" hidden="false" customHeight="false" outlineLevel="0" collapsed="false">
      <c r="A162" s="17" t="n">
        <v>3391</v>
      </c>
      <c r="B162" s="17" t="s">
        <v>149</v>
      </c>
      <c r="C162" s="17" t="s">
        <v>57</v>
      </c>
      <c r="D162" s="33" t="n">
        <v>45508</v>
      </c>
      <c r="E162" s="17" t="s">
        <v>49</v>
      </c>
      <c r="F162" s="17" t="n">
        <v>15</v>
      </c>
      <c r="G162" s="17" t="s">
        <v>42</v>
      </c>
      <c r="H162" s="17" t="s">
        <v>48</v>
      </c>
      <c r="I162" s="17" t="n">
        <v>30</v>
      </c>
      <c r="J162" s="17" t="s">
        <v>48</v>
      </c>
      <c r="K162" s="17" t="n">
        <v>20</v>
      </c>
      <c r="L162" s="17" t="n">
        <v>15</v>
      </c>
      <c r="M162" s="17" t="n">
        <v>50</v>
      </c>
      <c r="N162" s="34" t="n">
        <f aca="false">IF(D162="","",DATE(YEAR(D162),MONTH(D162),1))</f>
        <v>45505</v>
      </c>
      <c r="O162" s="35" t="n">
        <f aca="false">IF(A162="","",IF(ISNUMBER(I162),I162,0))</f>
        <v>30</v>
      </c>
      <c r="P162" s="35" t="n">
        <f aca="false">IF(A162="","",F162+O162+K162)</f>
        <v>65</v>
      </c>
      <c r="Q162" s="36" t="str">
        <f aca="false">IF(A162="","",IF(P162-L162=M162,"OK","Divergente"))</f>
        <v>OK</v>
      </c>
    </row>
    <row r="163" customFormat="false" ht="15" hidden="false" customHeight="false" outlineLevel="0" collapsed="false">
      <c r="A163" s="17" t="n">
        <v>3392</v>
      </c>
      <c r="B163" s="17" t="s">
        <v>250</v>
      </c>
      <c r="C163" s="17" t="s">
        <v>56</v>
      </c>
      <c r="D163" s="33" t="n">
        <v>45509</v>
      </c>
      <c r="E163" s="17" t="s">
        <v>48</v>
      </c>
      <c r="F163" s="17" t="n">
        <v>10</v>
      </c>
      <c r="G163" s="17" t="s">
        <v>44</v>
      </c>
      <c r="H163" s="17" t="s">
        <v>49</v>
      </c>
      <c r="I163" s="17" t="s">
        <v>92</v>
      </c>
      <c r="J163" s="17" t="s">
        <v>48</v>
      </c>
      <c r="K163" s="17" t="n">
        <v>20</v>
      </c>
      <c r="L163" s="17" t="n">
        <v>15</v>
      </c>
      <c r="M163" s="17" t="n">
        <v>15</v>
      </c>
      <c r="N163" s="34" t="n">
        <f aca="false">IF(D163="","",DATE(YEAR(D163),MONTH(D163),1))</f>
        <v>45505</v>
      </c>
      <c r="O163" s="35" t="n">
        <f aca="false">IF(A163="","",IF(ISNUMBER(I163),I163,0))</f>
        <v>0</v>
      </c>
      <c r="P163" s="35" t="n">
        <f aca="false">IF(A163="","",F163+O163+K163)</f>
        <v>30</v>
      </c>
      <c r="Q163" s="36" t="str">
        <f aca="false">IF(A163="","",IF(P163-L163=M163,"OK","Divergente"))</f>
        <v>OK</v>
      </c>
    </row>
    <row r="164" customFormat="false" ht="15" hidden="false" customHeight="false" outlineLevel="0" collapsed="false">
      <c r="A164" s="17" t="n">
        <v>3393</v>
      </c>
      <c r="B164" s="17" t="s">
        <v>251</v>
      </c>
      <c r="C164" s="17" t="s">
        <v>55</v>
      </c>
      <c r="D164" s="33" t="n">
        <v>45510</v>
      </c>
      <c r="E164" s="17" t="s">
        <v>49</v>
      </c>
      <c r="F164" s="17" t="n">
        <v>5</v>
      </c>
      <c r="G164" s="17" t="s">
        <v>42</v>
      </c>
      <c r="H164" s="17" t="s">
        <v>49</v>
      </c>
      <c r="I164" s="17" t="s">
        <v>92</v>
      </c>
      <c r="J164" s="17" t="s">
        <v>49</v>
      </c>
      <c r="K164" s="17" t="n">
        <v>0</v>
      </c>
      <c r="L164" s="17" t="n">
        <v>1</v>
      </c>
      <c r="M164" s="17" t="n">
        <v>4</v>
      </c>
      <c r="N164" s="34" t="n">
        <f aca="false">IF(D164="","",DATE(YEAR(D164),MONTH(D164),1))</f>
        <v>45505</v>
      </c>
      <c r="O164" s="35" t="n">
        <f aca="false">IF(A164="","",IF(ISNUMBER(I164),I164,0))</f>
        <v>0</v>
      </c>
      <c r="P164" s="35" t="n">
        <f aca="false">IF(A164="","",F164+O164+K164)</f>
        <v>5</v>
      </c>
      <c r="Q164" s="36" t="str">
        <f aca="false">IF(A164="","",IF(P164-L164=M164,"OK","Divergente"))</f>
        <v>OK</v>
      </c>
    </row>
    <row r="165" customFormat="false" ht="15" hidden="false" customHeight="false" outlineLevel="0" collapsed="false">
      <c r="A165" s="17" t="n">
        <v>3394</v>
      </c>
      <c r="B165" s="17" t="s">
        <v>252</v>
      </c>
      <c r="C165" s="17" t="s">
        <v>57</v>
      </c>
      <c r="D165" s="33" t="n">
        <v>45511</v>
      </c>
      <c r="E165" s="17" t="s">
        <v>48</v>
      </c>
      <c r="F165" s="17" t="n">
        <v>15</v>
      </c>
      <c r="G165" s="17" t="s">
        <v>43</v>
      </c>
      <c r="H165" s="17" t="s">
        <v>48</v>
      </c>
      <c r="I165" s="17" t="n">
        <v>30</v>
      </c>
      <c r="J165" s="17" t="s">
        <v>48</v>
      </c>
      <c r="K165" s="17" t="n">
        <v>20</v>
      </c>
      <c r="L165" s="17" t="n">
        <v>7</v>
      </c>
      <c r="M165" s="17" t="n">
        <v>58</v>
      </c>
      <c r="N165" s="34" t="n">
        <f aca="false">IF(D165="","",DATE(YEAR(D165),MONTH(D165),1))</f>
        <v>45505</v>
      </c>
      <c r="O165" s="35" t="n">
        <f aca="false">IF(A165="","",IF(ISNUMBER(I165),I165,0))</f>
        <v>30</v>
      </c>
      <c r="P165" s="35" t="n">
        <f aca="false">IF(A165="","",F165+O165+K165)</f>
        <v>65</v>
      </c>
      <c r="Q165" s="36" t="str">
        <f aca="false">IF(A165="","",IF(P165-L165=M165,"OK","Divergente"))</f>
        <v>OK</v>
      </c>
    </row>
    <row r="166" customFormat="false" ht="15" hidden="false" customHeight="false" outlineLevel="0" collapsed="false">
      <c r="A166" s="17" t="n">
        <v>3395</v>
      </c>
      <c r="B166" s="17" t="s">
        <v>253</v>
      </c>
      <c r="C166" s="17" t="s">
        <v>56</v>
      </c>
      <c r="D166" s="33" t="n">
        <v>45512</v>
      </c>
      <c r="E166" s="17" t="s">
        <v>49</v>
      </c>
      <c r="F166" s="17" t="n">
        <v>10</v>
      </c>
      <c r="G166" s="17" t="s">
        <v>42</v>
      </c>
      <c r="H166" s="17" t="s">
        <v>49</v>
      </c>
      <c r="I166" s="17" t="s">
        <v>92</v>
      </c>
      <c r="J166" s="17" t="s">
        <v>48</v>
      </c>
      <c r="K166" s="17" t="n">
        <v>20</v>
      </c>
      <c r="L166" s="17" t="n">
        <v>10</v>
      </c>
      <c r="M166" s="17" t="n">
        <v>20</v>
      </c>
      <c r="N166" s="34" t="n">
        <f aca="false">IF(D166="","",DATE(YEAR(D166),MONTH(D166),1))</f>
        <v>45505</v>
      </c>
      <c r="O166" s="35" t="n">
        <f aca="false">IF(A166="","",IF(ISNUMBER(I166),I166,0))</f>
        <v>0</v>
      </c>
      <c r="P166" s="35" t="n">
        <f aca="false">IF(A166="","",F166+O166+K166)</f>
        <v>30</v>
      </c>
      <c r="Q166" s="36" t="str">
        <f aca="false">IF(A166="","",IF(P166-L166=M166,"OK","Divergente"))</f>
        <v>OK</v>
      </c>
    </row>
    <row r="167" customFormat="false" ht="15" hidden="false" customHeight="false" outlineLevel="0" collapsed="false">
      <c r="A167" s="17" t="n">
        <v>3396</v>
      </c>
      <c r="B167" s="17" t="s">
        <v>254</v>
      </c>
      <c r="C167" s="17" t="s">
        <v>55</v>
      </c>
      <c r="D167" s="33" t="n">
        <v>45513</v>
      </c>
      <c r="E167" s="17" t="s">
        <v>48</v>
      </c>
      <c r="F167" s="17" t="n">
        <v>5</v>
      </c>
      <c r="G167" s="17" t="s">
        <v>44</v>
      </c>
      <c r="H167" s="17" t="s">
        <v>49</v>
      </c>
      <c r="I167" s="17" t="s">
        <v>92</v>
      </c>
      <c r="J167" s="17" t="s">
        <v>49</v>
      </c>
      <c r="K167" s="17" t="n">
        <v>0</v>
      </c>
      <c r="L167" s="17" t="n">
        <v>0</v>
      </c>
      <c r="M167" s="17" t="n">
        <v>5</v>
      </c>
      <c r="N167" s="34" t="n">
        <f aca="false">IF(D167="","",DATE(YEAR(D167),MONTH(D167),1))</f>
        <v>45505</v>
      </c>
      <c r="O167" s="35" t="n">
        <f aca="false">IF(A167="","",IF(ISNUMBER(I167),I167,0))</f>
        <v>0</v>
      </c>
      <c r="P167" s="35" t="n">
        <f aca="false">IF(A167="","",F167+O167+K167)</f>
        <v>5</v>
      </c>
      <c r="Q167" s="36" t="str">
        <f aca="false">IF(A167="","",IF(P167-L167=M167,"OK","Divergente"))</f>
        <v>OK</v>
      </c>
    </row>
    <row r="168" customFormat="false" ht="15" hidden="false" customHeight="false" outlineLevel="0" collapsed="false">
      <c r="A168" s="17" t="n">
        <v>3397</v>
      </c>
      <c r="B168" s="17" t="s">
        <v>181</v>
      </c>
      <c r="C168" s="17" t="s">
        <v>57</v>
      </c>
      <c r="D168" s="33" t="n">
        <v>45514</v>
      </c>
      <c r="E168" s="17" t="s">
        <v>49</v>
      </c>
      <c r="F168" s="17" t="n">
        <v>15</v>
      </c>
      <c r="G168" s="17" t="s">
        <v>42</v>
      </c>
      <c r="H168" s="17" t="s">
        <v>48</v>
      </c>
      <c r="I168" s="17" t="n">
        <v>30</v>
      </c>
      <c r="J168" s="17" t="s">
        <v>48</v>
      </c>
      <c r="K168" s="17" t="n">
        <v>20</v>
      </c>
      <c r="L168" s="17" t="n">
        <v>20</v>
      </c>
      <c r="M168" s="17" t="n">
        <v>45</v>
      </c>
      <c r="N168" s="34" t="n">
        <f aca="false">IF(D168="","",DATE(YEAR(D168),MONTH(D168),1))</f>
        <v>45505</v>
      </c>
      <c r="O168" s="35" t="n">
        <f aca="false">IF(A168="","",IF(ISNUMBER(I168),I168,0))</f>
        <v>30</v>
      </c>
      <c r="P168" s="35" t="n">
        <f aca="false">IF(A168="","",F168+O168+K168)</f>
        <v>65</v>
      </c>
      <c r="Q168" s="36" t="str">
        <f aca="false">IF(A168="","",IF(P168-L168=M168,"OK","Divergente"))</f>
        <v>OK</v>
      </c>
    </row>
    <row r="169" customFormat="false" ht="15" hidden="false" customHeight="false" outlineLevel="0" collapsed="false">
      <c r="A169" s="17" t="n">
        <v>3398</v>
      </c>
      <c r="B169" s="17" t="s">
        <v>255</v>
      </c>
      <c r="C169" s="17" t="s">
        <v>56</v>
      </c>
      <c r="D169" s="33" t="n">
        <v>45515</v>
      </c>
      <c r="E169" s="17" t="s">
        <v>48</v>
      </c>
      <c r="F169" s="17" t="n">
        <v>10</v>
      </c>
      <c r="G169" s="17" t="s">
        <v>43</v>
      </c>
      <c r="H169" s="17" t="s">
        <v>49</v>
      </c>
      <c r="I169" s="17" t="s">
        <v>92</v>
      </c>
      <c r="J169" s="17" t="s">
        <v>48</v>
      </c>
      <c r="K169" s="17" t="n">
        <v>20</v>
      </c>
      <c r="L169" s="17" t="n">
        <v>15</v>
      </c>
      <c r="M169" s="17" t="n">
        <v>15</v>
      </c>
      <c r="N169" s="34" t="n">
        <f aca="false">IF(D169="","",DATE(YEAR(D169),MONTH(D169),1))</f>
        <v>45505</v>
      </c>
      <c r="O169" s="35" t="n">
        <f aca="false">IF(A169="","",IF(ISNUMBER(I169),I169,0))</f>
        <v>0</v>
      </c>
      <c r="P169" s="35" t="n">
        <f aca="false">IF(A169="","",F169+O169+K169)</f>
        <v>30</v>
      </c>
      <c r="Q169" s="36" t="str">
        <f aca="false">IF(A169="","",IF(P169-L169=M169,"OK","Divergente"))</f>
        <v>OK</v>
      </c>
    </row>
    <row r="170" customFormat="false" ht="15" hidden="false" customHeight="false" outlineLevel="0" collapsed="false">
      <c r="A170" s="17" t="n">
        <v>3399</v>
      </c>
      <c r="B170" s="17" t="s">
        <v>256</v>
      </c>
      <c r="C170" s="17" t="s">
        <v>55</v>
      </c>
      <c r="D170" s="33" t="n">
        <v>45516</v>
      </c>
      <c r="E170" s="17" t="s">
        <v>49</v>
      </c>
      <c r="F170" s="17" t="n">
        <v>5</v>
      </c>
      <c r="G170" s="17" t="s">
        <v>42</v>
      </c>
      <c r="H170" s="17" t="s">
        <v>49</v>
      </c>
      <c r="I170" s="17" t="s">
        <v>92</v>
      </c>
      <c r="J170" s="17" t="s">
        <v>49</v>
      </c>
      <c r="K170" s="17" t="n">
        <v>0</v>
      </c>
      <c r="L170" s="17" t="n">
        <v>1</v>
      </c>
      <c r="M170" s="17" t="n">
        <v>4</v>
      </c>
      <c r="N170" s="34" t="n">
        <f aca="false">IF(D170="","",DATE(YEAR(D170),MONTH(D170),1))</f>
        <v>45505</v>
      </c>
      <c r="O170" s="35" t="n">
        <f aca="false">IF(A170="","",IF(ISNUMBER(I170),I170,0))</f>
        <v>0</v>
      </c>
      <c r="P170" s="35" t="n">
        <f aca="false">IF(A170="","",F170+O170+K170)</f>
        <v>5</v>
      </c>
      <c r="Q170" s="36" t="str">
        <f aca="false">IF(A170="","",IF(P170-L170=M170,"OK","Divergente"))</f>
        <v>OK</v>
      </c>
    </row>
    <row r="171" customFormat="false" ht="15" hidden="false" customHeight="false" outlineLevel="0" collapsed="false">
      <c r="A171" s="17" t="n">
        <v>3400</v>
      </c>
      <c r="B171" s="17" t="s">
        <v>257</v>
      </c>
      <c r="C171" s="17" t="s">
        <v>57</v>
      </c>
      <c r="D171" s="33" t="n">
        <v>45517</v>
      </c>
      <c r="E171" s="17" t="s">
        <v>48</v>
      </c>
      <c r="F171" s="17" t="n">
        <v>15</v>
      </c>
      <c r="G171" s="17" t="s">
        <v>44</v>
      </c>
      <c r="H171" s="17" t="s">
        <v>48</v>
      </c>
      <c r="I171" s="17" t="n">
        <v>30</v>
      </c>
      <c r="J171" s="17" t="s">
        <v>48</v>
      </c>
      <c r="K171" s="17" t="n">
        <v>20</v>
      </c>
      <c r="L171" s="17" t="n">
        <v>5</v>
      </c>
      <c r="M171" s="17" t="n">
        <v>60</v>
      </c>
      <c r="N171" s="34" t="n">
        <f aca="false">IF(D171="","",DATE(YEAR(D171),MONTH(D171),1))</f>
        <v>45505</v>
      </c>
      <c r="O171" s="35" t="n">
        <f aca="false">IF(A171="","",IF(ISNUMBER(I171),I171,0))</f>
        <v>30</v>
      </c>
      <c r="P171" s="35" t="n">
        <f aca="false">IF(A171="","",F171+O171+K171)</f>
        <v>65</v>
      </c>
      <c r="Q171" s="36" t="str">
        <f aca="false">IF(A171="","",IF(P171-L171=M171,"OK","Divergente"))</f>
        <v>OK</v>
      </c>
    </row>
    <row r="172" customFormat="false" ht="15" hidden="false" customHeight="false" outlineLevel="0" collapsed="false">
      <c r="A172" s="17" t="n">
        <v>3401</v>
      </c>
      <c r="B172" s="17" t="s">
        <v>258</v>
      </c>
      <c r="C172" s="17" t="s">
        <v>56</v>
      </c>
      <c r="D172" s="33" t="n">
        <v>45518</v>
      </c>
      <c r="E172" s="17" t="s">
        <v>49</v>
      </c>
      <c r="F172" s="17" t="n">
        <v>10</v>
      </c>
      <c r="G172" s="17" t="s">
        <v>42</v>
      </c>
      <c r="H172" s="17" t="s">
        <v>49</v>
      </c>
      <c r="I172" s="17" t="s">
        <v>92</v>
      </c>
      <c r="J172" s="17" t="s">
        <v>48</v>
      </c>
      <c r="K172" s="17" t="n">
        <v>20</v>
      </c>
      <c r="L172" s="17" t="n">
        <v>10</v>
      </c>
      <c r="M172" s="17" t="n">
        <v>20</v>
      </c>
      <c r="N172" s="34" t="n">
        <f aca="false">IF(D172="","",DATE(YEAR(D172),MONTH(D172),1))</f>
        <v>45505</v>
      </c>
      <c r="O172" s="35" t="n">
        <f aca="false">IF(A172="","",IF(ISNUMBER(I172),I172,0))</f>
        <v>0</v>
      </c>
      <c r="P172" s="35" t="n">
        <f aca="false">IF(A172="","",F172+O172+K172)</f>
        <v>30</v>
      </c>
      <c r="Q172" s="36" t="str">
        <f aca="false">IF(A172="","",IF(P172-L172=M172,"OK","Divergente"))</f>
        <v>OK</v>
      </c>
    </row>
    <row r="173" customFormat="false" ht="15" hidden="false" customHeight="false" outlineLevel="0" collapsed="false">
      <c r="A173" s="17" t="n">
        <v>3402</v>
      </c>
      <c r="B173" s="17" t="s">
        <v>259</v>
      </c>
      <c r="C173" s="17" t="s">
        <v>55</v>
      </c>
      <c r="D173" s="33" t="n">
        <v>45519</v>
      </c>
      <c r="E173" s="17" t="s">
        <v>48</v>
      </c>
      <c r="F173" s="17" t="n">
        <v>5</v>
      </c>
      <c r="G173" s="17" t="s">
        <v>43</v>
      </c>
      <c r="H173" s="17" t="s">
        <v>49</v>
      </c>
      <c r="I173" s="17" t="s">
        <v>92</v>
      </c>
      <c r="J173" s="17" t="s">
        <v>49</v>
      </c>
      <c r="K173" s="17" t="n">
        <v>0</v>
      </c>
      <c r="L173" s="17" t="n">
        <v>0</v>
      </c>
      <c r="M173" s="17" t="n">
        <v>5</v>
      </c>
      <c r="N173" s="34" t="n">
        <f aca="false">IF(D173="","",DATE(YEAR(D173),MONTH(D173),1))</f>
        <v>45505</v>
      </c>
      <c r="O173" s="35" t="n">
        <f aca="false">IF(A173="","",IF(ISNUMBER(I173),I173,0))</f>
        <v>0</v>
      </c>
      <c r="P173" s="35" t="n">
        <f aca="false">IF(A173="","",F173+O173+K173)</f>
        <v>5</v>
      </c>
      <c r="Q173" s="36" t="str">
        <f aca="false">IF(A173="","",IF(P173-L173=M173,"OK","Divergente"))</f>
        <v>OK</v>
      </c>
    </row>
    <row r="174" customFormat="false" ht="15" hidden="false" customHeight="false" outlineLevel="0" collapsed="false">
      <c r="A174" s="17" t="n">
        <v>3403</v>
      </c>
      <c r="B174" s="17" t="s">
        <v>260</v>
      </c>
      <c r="C174" s="17" t="s">
        <v>57</v>
      </c>
      <c r="D174" s="33" t="n">
        <v>45520</v>
      </c>
      <c r="E174" s="17" t="s">
        <v>49</v>
      </c>
      <c r="F174" s="17" t="n">
        <v>15</v>
      </c>
      <c r="G174" s="17" t="s">
        <v>42</v>
      </c>
      <c r="H174" s="17" t="s">
        <v>48</v>
      </c>
      <c r="I174" s="17" t="n">
        <v>30</v>
      </c>
      <c r="J174" s="17" t="s">
        <v>48</v>
      </c>
      <c r="K174" s="17" t="n">
        <v>20</v>
      </c>
      <c r="L174" s="17" t="n">
        <v>3</v>
      </c>
      <c r="M174" s="17" t="n">
        <v>62</v>
      </c>
      <c r="N174" s="34" t="n">
        <f aca="false">IF(D174="","",DATE(YEAR(D174),MONTH(D174),1))</f>
        <v>45505</v>
      </c>
      <c r="O174" s="35" t="n">
        <f aca="false">IF(A174="","",IF(ISNUMBER(I174),I174,0))</f>
        <v>30</v>
      </c>
      <c r="P174" s="35" t="n">
        <f aca="false">IF(A174="","",F174+O174+K174)</f>
        <v>65</v>
      </c>
      <c r="Q174" s="36" t="str">
        <f aca="false">IF(A174="","",IF(P174-L174=M174,"OK","Divergente"))</f>
        <v>OK</v>
      </c>
    </row>
    <row r="175" customFormat="false" ht="15" hidden="false" customHeight="false" outlineLevel="0" collapsed="false">
      <c r="A175" s="17" t="n">
        <v>3404</v>
      </c>
      <c r="B175" s="17" t="s">
        <v>261</v>
      </c>
      <c r="C175" s="17" t="s">
        <v>56</v>
      </c>
      <c r="D175" s="33" t="n">
        <v>45521</v>
      </c>
      <c r="E175" s="17" t="s">
        <v>48</v>
      </c>
      <c r="F175" s="17" t="n">
        <v>10</v>
      </c>
      <c r="G175" s="17" t="s">
        <v>44</v>
      </c>
      <c r="H175" s="17" t="s">
        <v>49</v>
      </c>
      <c r="I175" s="17" t="s">
        <v>92</v>
      </c>
      <c r="J175" s="17" t="s">
        <v>48</v>
      </c>
      <c r="K175" s="17" t="n">
        <v>20</v>
      </c>
      <c r="L175" s="17" t="n">
        <v>15</v>
      </c>
      <c r="M175" s="17" t="n">
        <v>15</v>
      </c>
      <c r="N175" s="34" t="n">
        <f aca="false">IF(D175="","",DATE(YEAR(D175),MONTH(D175),1))</f>
        <v>45505</v>
      </c>
      <c r="O175" s="35" t="n">
        <f aca="false">IF(A175="","",IF(ISNUMBER(I175),I175,0))</f>
        <v>0</v>
      </c>
      <c r="P175" s="35" t="n">
        <f aca="false">IF(A175="","",F175+O175+K175)</f>
        <v>30</v>
      </c>
      <c r="Q175" s="36" t="str">
        <f aca="false">IF(A175="","",IF(P175-L175=M175,"OK","Divergente"))</f>
        <v>OK</v>
      </c>
    </row>
    <row r="176" customFormat="false" ht="15" hidden="false" customHeight="false" outlineLevel="0" collapsed="false">
      <c r="A176" s="17" t="n">
        <v>3405</v>
      </c>
      <c r="B176" s="17" t="s">
        <v>262</v>
      </c>
      <c r="C176" s="17" t="s">
        <v>55</v>
      </c>
      <c r="D176" s="33" t="n">
        <v>45522</v>
      </c>
      <c r="E176" s="17" t="s">
        <v>49</v>
      </c>
      <c r="F176" s="17" t="n">
        <v>5</v>
      </c>
      <c r="G176" s="17" t="s">
        <v>42</v>
      </c>
      <c r="H176" s="17" t="s">
        <v>49</v>
      </c>
      <c r="I176" s="17" t="s">
        <v>92</v>
      </c>
      <c r="J176" s="17" t="s">
        <v>49</v>
      </c>
      <c r="K176" s="17" t="n">
        <v>0</v>
      </c>
      <c r="L176" s="17" t="n">
        <v>1</v>
      </c>
      <c r="M176" s="17" t="n">
        <v>4</v>
      </c>
      <c r="N176" s="34" t="n">
        <f aca="false">IF(D176="","",DATE(YEAR(D176),MONTH(D176),1))</f>
        <v>45505</v>
      </c>
      <c r="O176" s="35" t="n">
        <f aca="false">IF(A176="","",IF(ISNUMBER(I176),I176,0))</f>
        <v>0</v>
      </c>
      <c r="P176" s="35" t="n">
        <f aca="false">IF(A176="","",F176+O176+K176)</f>
        <v>5</v>
      </c>
      <c r="Q176" s="36" t="str">
        <f aca="false">IF(A176="","",IF(P176-L176=M176,"OK","Divergente"))</f>
        <v>OK</v>
      </c>
    </row>
    <row r="177" customFormat="false" ht="15" hidden="false" customHeight="false" outlineLevel="0" collapsed="false">
      <c r="A177" s="17" t="n">
        <v>3406</v>
      </c>
      <c r="B177" s="17" t="s">
        <v>263</v>
      </c>
      <c r="C177" s="17" t="s">
        <v>55</v>
      </c>
      <c r="D177" s="33" t="n">
        <v>45523</v>
      </c>
      <c r="E177" s="17" t="s">
        <v>48</v>
      </c>
      <c r="F177" s="17" t="n">
        <v>5</v>
      </c>
      <c r="G177" s="17" t="s">
        <v>42</v>
      </c>
      <c r="H177" s="17" t="s">
        <v>49</v>
      </c>
      <c r="I177" s="17" t="s">
        <v>92</v>
      </c>
      <c r="J177" s="17" t="s">
        <v>49</v>
      </c>
      <c r="K177" s="17" t="n">
        <v>0</v>
      </c>
      <c r="L177" s="17" t="n">
        <v>0</v>
      </c>
      <c r="M177" s="17" t="n">
        <v>5</v>
      </c>
      <c r="N177" s="34" t="n">
        <f aca="false">IF(D177="","",DATE(YEAR(D177),MONTH(D177),1))</f>
        <v>45505</v>
      </c>
      <c r="O177" s="35" t="n">
        <f aca="false">IF(A177="","",IF(ISNUMBER(I177),I177,0))</f>
        <v>0</v>
      </c>
      <c r="P177" s="35" t="n">
        <f aca="false">IF(A177="","",F177+O177+K177)</f>
        <v>5</v>
      </c>
      <c r="Q177" s="36" t="str">
        <f aca="false">IF(A177="","",IF(P177-L177=M177,"OK","Divergente"))</f>
        <v>OK</v>
      </c>
    </row>
    <row r="178" customFormat="false" ht="15" hidden="false" customHeight="false" outlineLevel="0" collapsed="false">
      <c r="A178" s="17" t="n">
        <v>3407</v>
      </c>
      <c r="B178" s="17" t="s">
        <v>264</v>
      </c>
      <c r="C178" s="17" t="s">
        <v>57</v>
      </c>
      <c r="D178" s="33" t="n">
        <v>45524</v>
      </c>
      <c r="E178" s="17" t="s">
        <v>49</v>
      </c>
      <c r="F178" s="17" t="n">
        <v>15</v>
      </c>
      <c r="G178" s="17" t="s">
        <v>43</v>
      </c>
      <c r="H178" s="17" t="s">
        <v>48</v>
      </c>
      <c r="I178" s="17" t="n">
        <v>30</v>
      </c>
      <c r="J178" s="17" t="s">
        <v>48</v>
      </c>
      <c r="K178" s="17" t="n">
        <v>20</v>
      </c>
      <c r="L178" s="17" t="n">
        <v>7</v>
      </c>
      <c r="M178" s="17" t="n">
        <v>58</v>
      </c>
      <c r="N178" s="34" t="n">
        <f aca="false">IF(D178="","",DATE(YEAR(D178),MONTH(D178),1))</f>
        <v>45505</v>
      </c>
      <c r="O178" s="35" t="n">
        <f aca="false">IF(A178="","",IF(ISNUMBER(I178),I178,0))</f>
        <v>30</v>
      </c>
      <c r="P178" s="35" t="n">
        <f aca="false">IF(A178="","",F178+O178+K178)</f>
        <v>65</v>
      </c>
      <c r="Q178" s="36" t="str">
        <f aca="false">IF(A178="","",IF(P178-L178=M178,"OK","Divergente"))</f>
        <v>OK</v>
      </c>
    </row>
    <row r="179" customFormat="false" ht="15" hidden="false" customHeight="false" outlineLevel="0" collapsed="false">
      <c r="A179" s="17" t="n">
        <v>3408</v>
      </c>
      <c r="B179" s="17" t="s">
        <v>265</v>
      </c>
      <c r="C179" s="17" t="s">
        <v>56</v>
      </c>
      <c r="D179" s="33" t="n">
        <v>45525</v>
      </c>
      <c r="E179" s="17" t="s">
        <v>48</v>
      </c>
      <c r="F179" s="17" t="n">
        <v>10</v>
      </c>
      <c r="G179" s="17" t="s">
        <v>44</v>
      </c>
      <c r="H179" s="17" t="s">
        <v>49</v>
      </c>
      <c r="I179" s="17" t="s">
        <v>92</v>
      </c>
      <c r="J179" s="17" t="s">
        <v>48</v>
      </c>
      <c r="K179" s="17" t="n">
        <v>20</v>
      </c>
      <c r="L179" s="17" t="n">
        <v>10</v>
      </c>
      <c r="M179" s="17" t="n">
        <v>20</v>
      </c>
      <c r="N179" s="34" t="n">
        <f aca="false">IF(D179="","",DATE(YEAR(D179),MONTH(D179),1))</f>
        <v>45505</v>
      </c>
      <c r="O179" s="35" t="n">
        <f aca="false">IF(A179="","",IF(ISNUMBER(I179),I179,0))</f>
        <v>0</v>
      </c>
      <c r="P179" s="35" t="n">
        <f aca="false">IF(A179="","",F179+O179+K179)</f>
        <v>30</v>
      </c>
      <c r="Q179" s="36" t="str">
        <f aca="false">IF(A179="","",IF(P179-L179=M179,"OK","Divergente"))</f>
        <v>OK</v>
      </c>
    </row>
    <row r="180" customFormat="false" ht="15" hidden="false" customHeight="false" outlineLevel="0" collapsed="false">
      <c r="A180" s="17" t="n">
        <v>3409</v>
      </c>
      <c r="B180" s="17" t="s">
        <v>266</v>
      </c>
      <c r="C180" s="17" t="s">
        <v>55</v>
      </c>
      <c r="D180" s="33" t="n">
        <v>45526</v>
      </c>
      <c r="E180" s="17" t="s">
        <v>49</v>
      </c>
      <c r="F180" s="17" t="n">
        <v>5</v>
      </c>
      <c r="G180" s="17" t="s">
        <v>43</v>
      </c>
      <c r="H180" s="17" t="s">
        <v>49</v>
      </c>
      <c r="I180" s="17" t="s">
        <v>92</v>
      </c>
      <c r="J180" s="17" t="s">
        <v>49</v>
      </c>
      <c r="K180" s="17" t="n">
        <v>0</v>
      </c>
      <c r="L180" s="17" t="n">
        <v>1</v>
      </c>
      <c r="M180" s="17" t="n">
        <v>4</v>
      </c>
      <c r="N180" s="34" t="n">
        <f aca="false">IF(D180="","",DATE(YEAR(D180),MONTH(D180),1))</f>
        <v>45505</v>
      </c>
      <c r="O180" s="35" t="n">
        <f aca="false">IF(A180="","",IF(ISNUMBER(I180),I180,0))</f>
        <v>0</v>
      </c>
      <c r="P180" s="35" t="n">
        <f aca="false">IF(A180="","",F180+O180+K180)</f>
        <v>5</v>
      </c>
      <c r="Q180" s="36" t="str">
        <f aca="false">IF(A180="","",IF(P180-L180=M180,"OK","Divergente"))</f>
        <v>OK</v>
      </c>
    </row>
    <row r="181" customFormat="false" ht="15" hidden="false" customHeight="false" outlineLevel="0" collapsed="false">
      <c r="A181" s="17" t="n">
        <v>3410</v>
      </c>
      <c r="B181" s="17" t="s">
        <v>267</v>
      </c>
      <c r="C181" s="17" t="s">
        <v>57</v>
      </c>
      <c r="D181" s="33" t="n">
        <v>45527</v>
      </c>
      <c r="E181" s="17" t="s">
        <v>48</v>
      </c>
      <c r="F181" s="17" t="n">
        <v>15</v>
      </c>
      <c r="G181" s="17" t="s">
        <v>42</v>
      </c>
      <c r="H181" s="17" t="s">
        <v>48</v>
      </c>
      <c r="I181" s="17" t="n">
        <v>30</v>
      </c>
      <c r="J181" s="17" t="s">
        <v>48</v>
      </c>
      <c r="K181" s="17" t="n">
        <v>20</v>
      </c>
      <c r="L181" s="17" t="n">
        <v>15</v>
      </c>
      <c r="M181" s="17" t="n">
        <v>50</v>
      </c>
      <c r="N181" s="34" t="n">
        <f aca="false">IF(D181="","",DATE(YEAR(D181),MONTH(D181),1))</f>
        <v>45505</v>
      </c>
      <c r="O181" s="35" t="n">
        <f aca="false">IF(A181="","",IF(ISNUMBER(I181),I181,0))</f>
        <v>30</v>
      </c>
      <c r="P181" s="35" t="n">
        <f aca="false">IF(A181="","",F181+O181+K181)</f>
        <v>65</v>
      </c>
      <c r="Q181" s="36" t="str">
        <f aca="false">IF(A181="","",IF(P181-L181=M181,"OK","Divergente"))</f>
        <v>OK</v>
      </c>
    </row>
    <row r="182" customFormat="false" ht="15" hidden="false" customHeight="false" outlineLevel="0" collapsed="false">
      <c r="A182" s="17" t="n">
        <v>3411</v>
      </c>
      <c r="B182" s="17" t="s">
        <v>268</v>
      </c>
      <c r="C182" s="17" t="s">
        <v>56</v>
      </c>
      <c r="D182" s="33" t="n">
        <v>45528</v>
      </c>
      <c r="E182" s="17" t="s">
        <v>49</v>
      </c>
      <c r="F182" s="17" t="n">
        <v>10</v>
      </c>
      <c r="G182" s="17" t="s">
        <v>42</v>
      </c>
      <c r="H182" s="17" t="s">
        <v>49</v>
      </c>
      <c r="I182" s="17" t="s">
        <v>92</v>
      </c>
      <c r="J182" s="17" t="s">
        <v>48</v>
      </c>
      <c r="K182" s="17" t="n">
        <v>20</v>
      </c>
      <c r="L182" s="17" t="n">
        <v>5</v>
      </c>
      <c r="M182" s="17" t="n">
        <v>25</v>
      </c>
      <c r="N182" s="34" t="n">
        <f aca="false">IF(D182="","",DATE(YEAR(D182),MONTH(D182),1))</f>
        <v>45505</v>
      </c>
      <c r="O182" s="35" t="n">
        <f aca="false">IF(A182="","",IF(ISNUMBER(I182),I182,0))</f>
        <v>0</v>
      </c>
      <c r="P182" s="35" t="n">
        <f aca="false">IF(A182="","",F182+O182+K182)</f>
        <v>30</v>
      </c>
      <c r="Q182" s="36" t="str">
        <f aca="false">IF(A182="","",IF(P182-L182=M182,"OK","Divergente"))</f>
        <v>OK</v>
      </c>
    </row>
    <row r="183" customFormat="false" ht="15" hidden="false" customHeight="false" outlineLevel="0" collapsed="false">
      <c r="A183" s="17" t="n">
        <v>3412</v>
      </c>
      <c r="B183" s="17" t="s">
        <v>269</v>
      </c>
      <c r="C183" s="17" t="s">
        <v>55</v>
      </c>
      <c r="D183" s="33" t="n">
        <v>45529</v>
      </c>
      <c r="E183" s="17" t="s">
        <v>48</v>
      </c>
      <c r="F183" s="17" t="n">
        <v>5</v>
      </c>
      <c r="G183" s="17" t="s">
        <v>44</v>
      </c>
      <c r="H183" s="17" t="s">
        <v>49</v>
      </c>
      <c r="I183" s="17" t="s">
        <v>92</v>
      </c>
      <c r="J183" s="17" t="s">
        <v>49</v>
      </c>
      <c r="K183" s="17" t="n">
        <v>0</v>
      </c>
      <c r="L183" s="17" t="n">
        <v>0</v>
      </c>
      <c r="M183" s="17" t="n">
        <v>5</v>
      </c>
      <c r="N183" s="34" t="n">
        <f aca="false">IF(D183="","",DATE(YEAR(D183),MONTH(D183),1))</f>
        <v>45505</v>
      </c>
      <c r="O183" s="35" t="n">
        <f aca="false">IF(A183="","",IF(ISNUMBER(I183),I183,0))</f>
        <v>0</v>
      </c>
      <c r="P183" s="35" t="n">
        <f aca="false">IF(A183="","",F183+O183+K183)</f>
        <v>5</v>
      </c>
      <c r="Q183" s="36" t="str">
        <f aca="false">IF(A183="","",IF(P183-L183=M183,"OK","Divergente"))</f>
        <v>OK</v>
      </c>
    </row>
    <row r="184" customFormat="false" ht="15" hidden="false" customHeight="false" outlineLevel="0" collapsed="false">
      <c r="A184" s="17" t="n">
        <v>3413</v>
      </c>
      <c r="B184" s="17" t="s">
        <v>270</v>
      </c>
      <c r="C184" s="17" t="s">
        <v>57</v>
      </c>
      <c r="D184" s="33" t="n">
        <v>45530</v>
      </c>
      <c r="E184" s="17" t="s">
        <v>49</v>
      </c>
      <c r="F184" s="17" t="n">
        <v>15</v>
      </c>
      <c r="G184" s="17" t="s">
        <v>43</v>
      </c>
      <c r="H184" s="17" t="s">
        <v>48</v>
      </c>
      <c r="I184" s="17" t="n">
        <v>30</v>
      </c>
      <c r="J184" s="17" t="s">
        <v>48</v>
      </c>
      <c r="K184" s="17" t="n">
        <v>20</v>
      </c>
      <c r="L184" s="17" t="n">
        <v>20</v>
      </c>
      <c r="M184" s="17" t="n">
        <v>45</v>
      </c>
      <c r="N184" s="34" t="n">
        <f aca="false">IF(D184="","",DATE(YEAR(D184),MONTH(D184),1))</f>
        <v>45505</v>
      </c>
      <c r="O184" s="35" t="n">
        <f aca="false">IF(A184="","",IF(ISNUMBER(I184),I184,0))</f>
        <v>30</v>
      </c>
      <c r="P184" s="35" t="n">
        <f aca="false">IF(A184="","",F184+O184+K184)</f>
        <v>65</v>
      </c>
      <c r="Q184" s="36" t="str">
        <f aca="false">IF(A184="","",IF(P184-L184=M184,"OK","Divergente"))</f>
        <v>OK</v>
      </c>
    </row>
    <row r="185" customFormat="false" ht="15" hidden="false" customHeight="false" outlineLevel="0" collapsed="false">
      <c r="A185" s="17" t="n">
        <v>3414</v>
      </c>
      <c r="B185" s="17" t="s">
        <v>271</v>
      </c>
      <c r="C185" s="17" t="s">
        <v>56</v>
      </c>
      <c r="D185" s="33" t="n">
        <v>45531</v>
      </c>
      <c r="E185" s="17" t="s">
        <v>48</v>
      </c>
      <c r="F185" s="17" t="n">
        <v>10</v>
      </c>
      <c r="G185" s="17" t="s">
        <v>43</v>
      </c>
      <c r="H185" s="17" t="s">
        <v>49</v>
      </c>
      <c r="I185" s="17" t="s">
        <v>92</v>
      </c>
      <c r="J185" s="17" t="s">
        <v>48</v>
      </c>
      <c r="K185" s="17" t="n">
        <v>20</v>
      </c>
      <c r="L185" s="17" t="n">
        <v>12</v>
      </c>
      <c r="M185" s="17" t="n">
        <v>18</v>
      </c>
      <c r="N185" s="34" t="n">
        <f aca="false">IF(D185="","",DATE(YEAR(D185),MONTH(D185),1))</f>
        <v>45505</v>
      </c>
      <c r="O185" s="35" t="n">
        <f aca="false">IF(A185="","",IF(ISNUMBER(I185),I185,0))</f>
        <v>0</v>
      </c>
      <c r="P185" s="35" t="n">
        <f aca="false">IF(A185="","",F185+O185+K185)</f>
        <v>30</v>
      </c>
      <c r="Q185" s="36" t="str">
        <f aca="false">IF(A185="","",IF(P185-L185=M185,"OK","Divergente"))</f>
        <v>OK</v>
      </c>
    </row>
    <row r="186" customFormat="false" ht="15" hidden="false" customHeight="false" outlineLevel="0" collapsed="false">
      <c r="A186" s="17" t="n">
        <v>3415</v>
      </c>
      <c r="B186" s="17" t="s">
        <v>272</v>
      </c>
      <c r="C186" s="17" t="s">
        <v>55</v>
      </c>
      <c r="D186" s="33" t="n">
        <v>45532</v>
      </c>
      <c r="E186" s="17" t="s">
        <v>49</v>
      </c>
      <c r="F186" s="17" t="n">
        <v>5</v>
      </c>
      <c r="G186" s="17" t="s">
        <v>42</v>
      </c>
      <c r="H186" s="17" t="s">
        <v>49</v>
      </c>
      <c r="I186" s="17" t="s">
        <v>92</v>
      </c>
      <c r="J186" s="17" t="s">
        <v>49</v>
      </c>
      <c r="K186" s="17" t="n">
        <v>0</v>
      </c>
      <c r="L186" s="17" t="n">
        <v>2</v>
      </c>
      <c r="M186" s="17" t="n">
        <v>3</v>
      </c>
      <c r="N186" s="34" t="n">
        <f aca="false">IF(D186="","",DATE(YEAR(D186),MONTH(D186),1))</f>
        <v>45505</v>
      </c>
      <c r="O186" s="35" t="n">
        <f aca="false">IF(A186="","",IF(ISNUMBER(I186),I186,0))</f>
        <v>0</v>
      </c>
      <c r="P186" s="35" t="n">
        <f aca="false">IF(A186="","",F186+O186+K186)</f>
        <v>5</v>
      </c>
      <c r="Q186" s="36" t="str">
        <f aca="false">IF(A186="","",IF(P186-L186=M186,"OK","Divergente"))</f>
        <v>OK</v>
      </c>
    </row>
    <row r="187" customFormat="false" ht="15" hidden="false" customHeight="false" outlineLevel="0" collapsed="false">
      <c r="A187" s="17" t="n">
        <v>3416</v>
      </c>
      <c r="B187" s="17" t="s">
        <v>273</v>
      </c>
      <c r="C187" s="17" t="s">
        <v>57</v>
      </c>
      <c r="D187" s="33" t="n">
        <v>45533</v>
      </c>
      <c r="E187" s="17" t="s">
        <v>48</v>
      </c>
      <c r="F187" s="17" t="n">
        <v>15</v>
      </c>
      <c r="G187" s="17" t="s">
        <v>44</v>
      </c>
      <c r="H187" s="17" t="s">
        <v>48</v>
      </c>
      <c r="I187" s="17" t="n">
        <v>30</v>
      </c>
      <c r="J187" s="17" t="s">
        <v>48</v>
      </c>
      <c r="K187" s="17" t="n">
        <v>20</v>
      </c>
      <c r="L187" s="17" t="n">
        <v>5</v>
      </c>
      <c r="M187" s="17" t="n">
        <v>60</v>
      </c>
      <c r="N187" s="34" t="n">
        <f aca="false">IF(D187="","",DATE(YEAR(D187),MONTH(D187),1))</f>
        <v>45505</v>
      </c>
      <c r="O187" s="35" t="n">
        <f aca="false">IF(A187="","",IF(ISNUMBER(I187),I187,0))</f>
        <v>30</v>
      </c>
      <c r="P187" s="35" t="n">
        <f aca="false">IF(A187="","",F187+O187+K187)</f>
        <v>65</v>
      </c>
      <c r="Q187" s="36" t="str">
        <f aca="false">IF(A187="","",IF(P187-L187=M187,"OK","Divergente"))</f>
        <v>OK</v>
      </c>
    </row>
    <row r="188" customFormat="false" ht="15" hidden="false" customHeight="false" outlineLevel="0" collapsed="false">
      <c r="A188" s="17" t="n">
        <v>3417</v>
      </c>
      <c r="B188" s="17" t="s">
        <v>274</v>
      </c>
      <c r="C188" s="17" t="s">
        <v>56</v>
      </c>
      <c r="D188" s="33" t="n">
        <v>45534</v>
      </c>
      <c r="E188" s="17" t="s">
        <v>49</v>
      </c>
      <c r="F188" s="17" t="n">
        <v>10</v>
      </c>
      <c r="G188" s="17" t="s">
        <v>42</v>
      </c>
      <c r="H188" s="17" t="s">
        <v>49</v>
      </c>
      <c r="I188" s="17" t="s">
        <v>92</v>
      </c>
      <c r="J188" s="17" t="s">
        <v>48</v>
      </c>
      <c r="K188" s="17" t="n">
        <v>20</v>
      </c>
      <c r="L188" s="17" t="n">
        <v>10</v>
      </c>
      <c r="M188" s="17" t="n">
        <v>20</v>
      </c>
      <c r="N188" s="34" t="n">
        <f aca="false">IF(D188="","",DATE(YEAR(D188),MONTH(D188),1))</f>
        <v>45505</v>
      </c>
      <c r="O188" s="35" t="n">
        <f aca="false">IF(A188="","",IF(ISNUMBER(I188),I188,0))</f>
        <v>0</v>
      </c>
      <c r="P188" s="35" t="n">
        <f aca="false">IF(A188="","",F188+O188+K188)</f>
        <v>30</v>
      </c>
      <c r="Q188" s="36" t="str">
        <f aca="false">IF(A188="","",IF(P188-L188=M188,"OK","Divergente"))</f>
        <v>OK</v>
      </c>
    </row>
    <row r="189" customFormat="false" ht="15" hidden="false" customHeight="false" outlineLevel="0" collapsed="false">
      <c r="A189" s="17" t="n">
        <v>3418</v>
      </c>
      <c r="B189" s="17" t="s">
        <v>275</v>
      </c>
      <c r="C189" s="17" t="s">
        <v>55</v>
      </c>
      <c r="D189" s="33" t="n">
        <v>45535</v>
      </c>
      <c r="E189" s="17" t="s">
        <v>48</v>
      </c>
      <c r="F189" s="17" t="n">
        <v>5</v>
      </c>
      <c r="G189" s="17" t="s">
        <v>43</v>
      </c>
      <c r="H189" s="17" t="s">
        <v>49</v>
      </c>
      <c r="I189" s="17" t="s">
        <v>92</v>
      </c>
      <c r="J189" s="17" t="s">
        <v>49</v>
      </c>
      <c r="K189" s="17" t="n">
        <v>0</v>
      </c>
      <c r="L189" s="17" t="n">
        <v>0</v>
      </c>
      <c r="M189" s="17" t="n">
        <v>5</v>
      </c>
      <c r="N189" s="34" t="n">
        <f aca="false">IF(D189="","",DATE(YEAR(D189),MONTH(D189),1))</f>
        <v>45505</v>
      </c>
      <c r="O189" s="35" t="n">
        <f aca="false">IF(A189="","",IF(ISNUMBER(I189),I189,0))</f>
        <v>0</v>
      </c>
      <c r="P189" s="35" t="n">
        <f aca="false">IF(A189="","",F189+O189+K189)</f>
        <v>5</v>
      </c>
      <c r="Q189" s="36" t="str">
        <f aca="false">IF(A189="","",IF(P189-L189=M189,"OK","Divergente"))</f>
        <v>OK</v>
      </c>
    </row>
    <row r="190" customFormat="false" ht="15" hidden="false" customHeight="false" outlineLevel="0" collapsed="false">
      <c r="A190" s="17" t="n">
        <v>3419</v>
      </c>
      <c r="B190" s="17" t="s">
        <v>276</v>
      </c>
      <c r="C190" s="17" t="s">
        <v>57</v>
      </c>
      <c r="D190" s="33" t="n">
        <v>45536</v>
      </c>
      <c r="E190" s="17" t="s">
        <v>49</v>
      </c>
      <c r="F190" s="17" t="n">
        <v>15</v>
      </c>
      <c r="G190" s="17" t="s">
        <v>42</v>
      </c>
      <c r="H190" s="17" t="s">
        <v>48</v>
      </c>
      <c r="I190" s="17" t="n">
        <v>30</v>
      </c>
      <c r="J190" s="17" t="s">
        <v>48</v>
      </c>
      <c r="K190" s="17" t="n">
        <v>20</v>
      </c>
      <c r="L190" s="17" t="n">
        <v>3</v>
      </c>
      <c r="M190" s="17" t="n">
        <v>62</v>
      </c>
      <c r="N190" s="34" t="n">
        <f aca="false">IF(D190="","",DATE(YEAR(D190),MONTH(D190),1))</f>
        <v>45536</v>
      </c>
      <c r="O190" s="35" t="n">
        <f aca="false">IF(A190="","",IF(ISNUMBER(I190),I190,0))</f>
        <v>30</v>
      </c>
      <c r="P190" s="35" t="n">
        <f aca="false">IF(A190="","",F190+O190+K190)</f>
        <v>65</v>
      </c>
      <c r="Q190" s="36" t="str">
        <f aca="false">IF(A190="","",IF(P190-L190=M190,"OK","Divergente"))</f>
        <v>OK</v>
      </c>
    </row>
    <row r="191" customFormat="false" ht="15" hidden="false" customHeight="false" outlineLevel="0" collapsed="false">
      <c r="A191" s="17" t="n">
        <v>3420</v>
      </c>
      <c r="B191" s="17" t="s">
        <v>277</v>
      </c>
      <c r="C191" s="17" t="s">
        <v>56</v>
      </c>
      <c r="D191" s="33" t="n">
        <v>45537</v>
      </c>
      <c r="E191" s="17" t="s">
        <v>48</v>
      </c>
      <c r="F191" s="17" t="n">
        <v>10</v>
      </c>
      <c r="G191" s="17" t="s">
        <v>44</v>
      </c>
      <c r="H191" s="17" t="s">
        <v>49</v>
      </c>
      <c r="I191" s="17" t="s">
        <v>92</v>
      </c>
      <c r="J191" s="17" t="s">
        <v>48</v>
      </c>
      <c r="K191" s="17" t="n">
        <v>20</v>
      </c>
      <c r="L191" s="17" t="n">
        <v>15</v>
      </c>
      <c r="M191" s="17" t="n">
        <v>15</v>
      </c>
      <c r="N191" s="34" t="n">
        <f aca="false">IF(D191="","",DATE(YEAR(D191),MONTH(D191),1))</f>
        <v>45536</v>
      </c>
      <c r="O191" s="35" t="n">
        <f aca="false">IF(A191="","",IF(ISNUMBER(I191),I191,0))</f>
        <v>0</v>
      </c>
      <c r="P191" s="35" t="n">
        <f aca="false">IF(A191="","",F191+O191+K191)</f>
        <v>30</v>
      </c>
      <c r="Q191" s="36" t="str">
        <f aca="false">IF(A191="","",IF(P191-L191=M191,"OK","Divergente"))</f>
        <v>OK</v>
      </c>
    </row>
    <row r="192" customFormat="false" ht="15" hidden="false" customHeight="false" outlineLevel="0" collapsed="false">
      <c r="A192" s="17" t="n">
        <v>3421</v>
      </c>
      <c r="B192" s="17" t="s">
        <v>106</v>
      </c>
      <c r="C192" s="17" t="s">
        <v>55</v>
      </c>
      <c r="D192" s="33" t="n">
        <v>45538</v>
      </c>
      <c r="E192" s="17" t="s">
        <v>49</v>
      </c>
      <c r="F192" s="17" t="n">
        <v>5</v>
      </c>
      <c r="G192" s="17" t="s">
        <v>42</v>
      </c>
      <c r="H192" s="17" t="s">
        <v>49</v>
      </c>
      <c r="I192" s="17" t="s">
        <v>92</v>
      </c>
      <c r="J192" s="17" t="s">
        <v>49</v>
      </c>
      <c r="K192" s="17" t="n">
        <v>0</v>
      </c>
      <c r="L192" s="17" t="n">
        <v>1</v>
      </c>
      <c r="M192" s="17" t="n">
        <v>4</v>
      </c>
      <c r="N192" s="34" t="n">
        <f aca="false">IF(D192="","",DATE(YEAR(D192),MONTH(D192),1))</f>
        <v>45536</v>
      </c>
      <c r="O192" s="35" t="n">
        <f aca="false">IF(A192="","",IF(ISNUMBER(I192),I192,0))</f>
        <v>0</v>
      </c>
      <c r="P192" s="35" t="n">
        <f aca="false">IF(A192="","",F192+O192+K192)</f>
        <v>5</v>
      </c>
      <c r="Q192" s="36" t="str">
        <f aca="false">IF(A192="","",IF(P192-L192=M192,"OK","Divergente"))</f>
        <v>OK</v>
      </c>
    </row>
    <row r="193" customFormat="false" ht="15" hidden="false" customHeight="false" outlineLevel="0" collapsed="false">
      <c r="A193" s="17" t="n">
        <v>3422</v>
      </c>
      <c r="B193" s="17" t="s">
        <v>278</v>
      </c>
      <c r="C193" s="17" t="s">
        <v>57</v>
      </c>
      <c r="D193" s="33" t="n">
        <v>45539</v>
      </c>
      <c r="E193" s="17" t="s">
        <v>48</v>
      </c>
      <c r="F193" s="17" t="n">
        <v>15</v>
      </c>
      <c r="G193" s="17" t="s">
        <v>43</v>
      </c>
      <c r="H193" s="17" t="s">
        <v>48</v>
      </c>
      <c r="I193" s="17" t="n">
        <v>30</v>
      </c>
      <c r="J193" s="17" t="s">
        <v>48</v>
      </c>
      <c r="K193" s="17" t="n">
        <v>20</v>
      </c>
      <c r="L193" s="17" t="n">
        <v>7</v>
      </c>
      <c r="M193" s="17" t="n">
        <v>58</v>
      </c>
      <c r="N193" s="34" t="n">
        <f aca="false">IF(D193="","",DATE(YEAR(D193),MONTH(D193),1))</f>
        <v>45536</v>
      </c>
      <c r="O193" s="35" t="n">
        <f aca="false">IF(A193="","",IF(ISNUMBER(I193),I193,0))</f>
        <v>30</v>
      </c>
      <c r="P193" s="35" t="n">
        <f aca="false">IF(A193="","",F193+O193+K193)</f>
        <v>65</v>
      </c>
      <c r="Q193" s="36" t="str">
        <f aca="false">IF(A193="","",IF(P193-L193=M193,"OK","Divergente"))</f>
        <v>OK</v>
      </c>
    </row>
    <row r="194" customFormat="false" ht="15" hidden="false" customHeight="false" outlineLevel="0" collapsed="false">
      <c r="A194" s="17" t="n">
        <v>3423</v>
      </c>
      <c r="B194" s="17" t="s">
        <v>279</v>
      </c>
      <c r="C194" s="17" t="s">
        <v>56</v>
      </c>
      <c r="D194" s="33" t="n">
        <v>45540</v>
      </c>
      <c r="E194" s="17" t="s">
        <v>49</v>
      </c>
      <c r="F194" s="17" t="n">
        <v>10</v>
      </c>
      <c r="G194" s="17" t="s">
        <v>42</v>
      </c>
      <c r="H194" s="17" t="s">
        <v>49</v>
      </c>
      <c r="I194" s="17" t="s">
        <v>92</v>
      </c>
      <c r="J194" s="17" t="s">
        <v>48</v>
      </c>
      <c r="K194" s="17" t="n">
        <v>20</v>
      </c>
      <c r="L194" s="17" t="n">
        <v>10</v>
      </c>
      <c r="M194" s="17" t="n">
        <v>20</v>
      </c>
      <c r="N194" s="34" t="n">
        <f aca="false">IF(D194="","",DATE(YEAR(D194),MONTH(D194),1))</f>
        <v>45536</v>
      </c>
      <c r="O194" s="35" t="n">
        <f aca="false">IF(A194="","",IF(ISNUMBER(I194),I194,0))</f>
        <v>0</v>
      </c>
      <c r="P194" s="35" t="n">
        <f aca="false">IF(A194="","",F194+O194+K194)</f>
        <v>30</v>
      </c>
      <c r="Q194" s="36" t="str">
        <f aca="false">IF(A194="","",IF(P194-L194=M194,"OK","Divergente"))</f>
        <v>OK</v>
      </c>
    </row>
    <row r="195" customFormat="false" ht="15" hidden="false" customHeight="false" outlineLevel="0" collapsed="false">
      <c r="A195" s="17" t="n">
        <v>3424</v>
      </c>
      <c r="B195" s="17" t="s">
        <v>105</v>
      </c>
      <c r="C195" s="17" t="s">
        <v>55</v>
      </c>
      <c r="D195" s="33" t="n">
        <v>45541</v>
      </c>
      <c r="E195" s="17" t="s">
        <v>48</v>
      </c>
      <c r="F195" s="17" t="n">
        <v>5</v>
      </c>
      <c r="G195" s="17" t="s">
        <v>44</v>
      </c>
      <c r="H195" s="17" t="s">
        <v>49</v>
      </c>
      <c r="I195" s="17" t="s">
        <v>92</v>
      </c>
      <c r="J195" s="17" t="s">
        <v>49</v>
      </c>
      <c r="K195" s="17" t="n">
        <v>0</v>
      </c>
      <c r="L195" s="17" t="n">
        <v>0</v>
      </c>
      <c r="M195" s="17" t="n">
        <v>5</v>
      </c>
      <c r="N195" s="34" t="n">
        <f aca="false">IF(D195="","",DATE(YEAR(D195),MONTH(D195),1))</f>
        <v>45536</v>
      </c>
      <c r="O195" s="35" t="n">
        <f aca="false">IF(A195="","",IF(ISNUMBER(I195),I195,0))</f>
        <v>0</v>
      </c>
      <c r="P195" s="35" t="n">
        <f aca="false">IF(A195="","",F195+O195+K195)</f>
        <v>5</v>
      </c>
      <c r="Q195" s="36" t="str">
        <f aca="false">IF(A195="","",IF(P195-L195=M195,"OK","Divergente"))</f>
        <v>OK</v>
      </c>
    </row>
    <row r="196" customFormat="false" ht="15" hidden="false" customHeight="false" outlineLevel="0" collapsed="false">
      <c r="A196" s="17" t="n">
        <v>3425</v>
      </c>
      <c r="B196" s="17" t="s">
        <v>280</v>
      </c>
      <c r="C196" s="17" t="s">
        <v>57</v>
      </c>
      <c r="D196" s="33" t="n">
        <v>45542</v>
      </c>
      <c r="E196" s="17" t="s">
        <v>49</v>
      </c>
      <c r="F196" s="17" t="n">
        <v>15</v>
      </c>
      <c r="G196" s="17" t="s">
        <v>42</v>
      </c>
      <c r="H196" s="17" t="s">
        <v>48</v>
      </c>
      <c r="I196" s="17" t="n">
        <v>30</v>
      </c>
      <c r="J196" s="17" t="s">
        <v>48</v>
      </c>
      <c r="K196" s="17" t="n">
        <v>20</v>
      </c>
      <c r="L196" s="17" t="n">
        <v>20</v>
      </c>
      <c r="M196" s="17" t="n">
        <v>45</v>
      </c>
      <c r="N196" s="34" t="n">
        <f aca="false">IF(D196="","",DATE(YEAR(D196),MONTH(D196),1))</f>
        <v>45536</v>
      </c>
      <c r="O196" s="35" t="n">
        <f aca="false">IF(A196="","",IF(ISNUMBER(I196),I196,0))</f>
        <v>30</v>
      </c>
      <c r="P196" s="35" t="n">
        <f aca="false">IF(A196="","",F196+O196+K196)</f>
        <v>65</v>
      </c>
      <c r="Q196" s="36" t="str">
        <f aca="false">IF(A196="","",IF(P196-L196=M196,"OK","Divergente"))</f>
        <v>OK</v>
      </c>
    </row>
    <row r="197" customFormat="false" ht="15" hidden="false" customHeight="false" outlineLevel="0" collapsed="false">
      <c r="A197" s="17" t="n">
        <v>3426</v>
      </c>
      <c r="B197" s="17" t="s">
        <v>258</v>
      </c>
      <c r="C197" s="17" t="s">
        <v>56</v>
      </c>
      <c r="D197" s="33" t="n">
        <v>45543</v>
      </c>
      <c r="E197" s="17" t="s">
        <v>48</v>
      </c>
      <c r="F197" s="17" t="n">
        <v>10</v>
      </c>
      <c r="G197" s="17" t="s">
        <v>43</v>
      </c>
      <c r="H197" s="17" t="s">
        <v>49</v>
      </c>
      <c r="I197" s="17" t="s">
        <v>92</v>
      </c>
      <c r="J197" s="17" t="s">
        <v>48</v>
      </c>
      <c r="K197" s="17" t="n">
        <v>20</v>
      </c>
      <c r="L197" s="17" t="n">
        <v>15</v>
      </c>
      <c r="M197" s="17" t="n">
        <v>15</v>
      </c>
      <c r="N197" s="34" t="n">
        <f aca="false">IF(D197="","",DATE(YEAR(D197),MONTH(D197),1))</f>
        <v>45536</v>
      </c>
      <c r="O197" s="35" t="n">
        <f aca="false">IF(A197="","",IF(ISNUMBER(I197),I197,0))</f>
        <v>0</v>
      </c>
      <c r="P197" s="35" t="n">
        <f aca="false">IF(A197="","",F197+O197+K197)</f>
        <v>30</v>
      </c>
      <c r="Q197" s="36" t="str">
        <f aca="false">IF(A197="","",IF(P197-L197=M197,"OK","Divergente"))</f>
        <v>OK</v>
      </c>
    </row>
    <row r="198" customFormat="false" ht="15" hidden="false" customHeight="false" outlineLevel="0" collapsed="false">
      <c r="A198" s="17" t="n">
        <v>3427</v>
      </c>
      <c r="B198" s="17" t="s">
        <v>281</v>
      </c>
      <c r="C198" s="17" t="s">
        <v>55</v>
      </c>
      <c r="D198" s="33" t="n">
        <v>45544</v>
      </c>
      <c r="E198" s="17" t="s">
        <v>49</v>
      </c>
      <c r="F198" s="17" t="n">
        <v>5</v>
      </c>
      <c r="G198" s="17" t="s">
        <v>42</v>
      </c>
      <c r="H198" s="17" t="s">
        <v>49</v>
      </c>
      <c r="I198" s="17" t="s">
        <v>92</v>
      </c>
      <c r="J198" s="17" t="s">
        <v>49</v>
      </c>
      <c r="K198" s="17" t="n">
        <v>0</v>
      </c>
      <c r="L198" s="17" t="n">
        <v>1</v>
      </c>
      <c r="M198" s="17" t="n">
        <v>4</v>
      </c>
      <c r="N198" s="34" t="n">
        <f aca="false">IF(D198="","",DATE(YEAR(D198),MONTH(D198),1))</f>
        <v>45536</v>
      </c>
      <c r="O198" s="35" t="n">
        <f aca="false">IF(A198="","",IF(ISNUMBER(I198),I198,0))</f>
        <v>0</v>
      </c>
      <c r="P198" s="35" t="n">
        <f aca="false">IF(A198="","",F198+O198+K198)</f>
        <v>5</v>
      </c>
      <c r="Q198" s="36" t="str">
        <f aca="false">IF(A198="","",IF(P198-L198=M198,"OK","Divergente"))</f>
        <v>OK</v>
      </c>
    </row>
    <row r="199" customFormat="false" ht="15" hidden="false" customHeight="false" outlineLevel="0" collapsed="false">
      <c r="A199" s="17" t="n">
        <v>3428</v>
      </c>
      <c r="B199" s="17" t="s">
        <v>282</v>
      </c>
      <c r="C199" s="17" t="s">
        <v>57</v>
      </c>
      <c r="D199" s="33" t="n">
        <v>45545</v>
      </c>
      <c r="E199" s="17" t="s">
        <v>48</v>
      </c>
      <c r="F199" s="17" t="n">
        <v>15</v>
      </c>
      <c r="G199" s="17" t="s">
        <v>44</v>
      </c>
      <c r="H199" s="17" t="s">
        <v>48</v>
      </c>
      <c r="I199" s="17" t="n">
        <v>30</v>
      </c>
      <c r="J199" s="17" t="s">
        <v>48</v>
      </c>
      <c r="K199" s="17" t="n">
        <v>20</v>
      </c>
      <c r="L199" s="17" t="n">
        <v>3</v>
      </c>
      <c r="M199" s="17" t="n">
        <v>62</v>
      </c>
      <c r="N199" s="34" t="n">
        <f aca="false">IF(D199="","",DATE(YEAR(D199),MONTH(D199),1))</f>
        <v>45536</v>
      </c>
      <c r="O199" s="35" t="n">
        <f aca="false">IF(A199="","",IF(ISNUMBER(I199),I199,0))</f>
        <v>30</v>
      </c>
      <c r="P199" s="35" t="n">
        <f aca="false">IF(A199="","",F199+O199+K199)</f>
        <v>65</v>
      </c>
      <c r="Q199" s="36" t="str">
        <f aca="false">IF(A199="","",IF(P199-L199=M199,"OK","Divergente"))</f>
        <v>OK</v>
      </c>
    </row>
    <row r="200" customFormat="false" ht="15" hidden="false" customHeight="false" outlineLevel="0" collapsed="false">
      <c r="A200" s="17" t="n">
        <v>3429</v>
      </c>
      <c r="B200" s="17" t="s">
        <v>283</v>
      </c>
      <c r="C200" s="17" t="s">
        <v>56</v>
      </c>
      <c r="D200" s="33" t="n">
        <v>45546</v>
      </c>
      <c r="E200" s="17" t="s">
        <v>49</v>
      </c>
      <c r="F200" s="17" t="n">
        <v>10</v>
      </c>
      <c r="G200" s="17" t="s">
        <v>42</v>
      </c>
      <c r="H200" s="17" t="s">
        <v>49</v>
      </c>
      <c r="I200" s="17" t="s">
        <v>92</v>
      </c>
      <c r="J200" s="17" t="s">
        <v>48</v>
      </c>
      <c r="K200" s="17" t="n">
        <v>20</v>
      </c>
      <c r="L200" s="17" t="n">
        <v>10</v>
      </c>
      <c r="M200" s="17" t="n">
        <v>20</v>
      </c>
      <c r="N200" s="34" t="n">
        <f aca="false">IF(D200="","",DATE(YEAR(D200),MONTH(D200),1))</f>
        <v>45536</v>
      </c>
      <c r="O200" s="35" t="n">
        <f aca="false">IF(A200="","",IF(ISNUMBER(I200),I200,0))</f>
        <v>0</v>
      </c>
      <c r="P200" s="35" t="n">
        <f aca="false">IF(A200="","",F200+O200+K200)</f>
        <v>30</v>
      </c>
      <c r="Q200" s="36" t="str">
        <f aca="false">IF(A200="","",IF(P200-L200=M200,"OK","Divergente"))</f>
        <v>OK</v>
      </c>
    </row>
    <row r="201" customFormat="false" ht="15" hidden="false" customHeight="false" outlineLevel="0" collapsed="false">
      <c r="A201" s="17" t="n">
        <v>3430</v>
      </c>
      <c r="B201" s="17" t="s">
        <v>284</v>
      </c>
      <c r="C201" s="17" t="s">
        <v>55</v>
      </c>
      <c r="D201" s="33" t="n">
        <v>45547</v>
      </c>
      <c r="E201" s="17" t="s">
        <v>48</v>
      </c>
      <c r="F201" s="17" t="n">
        <v>5</v>
      </c>
      <c r="G201" s="17" t="s">
        <v>43</v>
      </c>
      <c r="H201" s="17" t="s">
        <v>49</v>
      </c>
      <c r="I201" s="17" t="s">
        <v>92</v>
      </c>
      <c r="J201" s="17" t="s">
        <v>49</v>
      </c>
      <c r="K201" s="17" t="n">
        <v>0</v>
      </c>
      <c r="L201" s="17" t="n">
        <v>0</v>
      </c>
      <c r="M201" s="17" t="n">
        <v>5</v>
      </c>
      <c r="N201" s="34" t="n">
        <f aca="false">IF(D201="","",DATE(YEAR(D201),MONTH(D201),1))</f>
        <v>45536</v>
      </c>
      <c r="O201" s="35" t="n">
        <f aca="false">IF(A201="","",IF(ISNUMBER(I201),I201,0))</f>
        <v>0</v>
      </c>
      <c r="P201" s="35" t="n">
        <f aca="false">IF(A201="","",F201+O201+K201)</f>
        <v>5</v>
      </c>
      <c r="Q201" s="36" t="str">
        <f aca="false">IF(A201="","",IF(P201-L201=M201,"OK","Divergente"))</f>
        <v>OK</v>
      </c>
    </row>
    <row r="202" customFormat="false" ht="15" hidden="false" customHeight="false" outlineLevel="0" collapsed="false">
      <c r="A202" s="17" t="n">
        <v>3431</v>
      </c>
      <c r="B202" s="17" t="s">
        <v>285</v>
      </c>
      <c r="C202" s="17" t="s">
        <v>57</v>
      </c>
      <c r="D202" s="33" t="n">
        <v>45548</v>
      </c>
      <c r="E202" s="17" t="s">
        <v>49</v>
      </c>
      <c r="F202" s="17" t="n">
        <v>15</v>
      </c>
      <c r="G202" s="17" t="s">
        <v>42</v>
      </c>
      <c r="H202" s="17" t="s">
        <v>48</v>
      </c>
      <c r="I202" s="17" t="n">
        <v>30</v>
      </c>
      <c r="J202" s="17" t="s">
        <v>48</v>
      </c>
      <c r="K202" s="17" t="n">
        <v>20</v>
      </c>
      <c r="L202" s="17" t="n">
        <v>15</v>
      </c>
      <c r="M202" s="17" t="n">
        <v>50</v>
      </c>
      <c r="N202" s="34" t="n">
        <f aca="false">IF(D202="","",DATE(YEAR(D202),MONTH(D202),1))</f>
        <v>45536</v>
      </c>
      <c r="O202" s="35" t="n">
        <f aca="false">IF(A202="","",IF(ISNUMBER(I202),I202,0))</f>
        <v>30</v>
      </c>
      <c r="P202" s="35" t="n">
        <f aca="false">IF(A202="","",F202+O202+K202)</f>
        <v>65</v>
      </c>
      <c r="Q202" s="36" t="str">
        <f aca="false">IF(A202="","",IF(P202-L202=M202,"OK","Divergente"))</f>
        <v>OK</v>
      </c>
    </row>
    <row r="203" customFormat="false" ht="15" hidden="false" customHeight="false" outlineLevel="0" collapsed="false">
      <c r="A203" s="17" t="n">
        <v>3432</v>
      </c>
      <c r="B203" s="17" t="s">
        <v>286</v>
      </c>
      <c r="C203" s="17" t="s">
        <v>56</v>
      </c>
      <c r="D203" s="33" t="n">
        <v>45549</v>
      </c>
      <c r="E203" s="17" t="s">
        <v>48</v>
      </c>
      <c r="F203" s="17" t="n">
        <v>10</v>
      </c>
      <c r="G203" s="17" t="s">
        <v>44</v>
      </c>
      <c r="H203" s="17" t="s">
        <v>49</v>
      </c>
      <c r="I203" s="17" t="s">
        <v>92</v>
      </c>
      <c r="J203" s="17" t="s">
        <v>48</v>
      </c>
      <c r="K203" s="17" t="n">
        <v>20</v>
      </c>
      <c r="L203" s="17" t="n">
        <v>15</v>
      </c>
      <c r="M203" s="17" t="n">
        <v>15</v>
      </c>
      <c r="N203" s="34" t="n">
        <f aca="false">IF(D203="","",DATE(YEAR(D203),MONTH(D203),1))</f>
        <v>45536</v>
      </c>
      <c r="O203" s="35" t="n">
        <f aca="false">IF(A203="","",IF(ISNUMBER(I203),I203,0))</f>
        <v>0</v>
      </c>
      <c r="P203" s="35" t="n">
        <f aca="false">IF(A203="","",F203+O203+K203)</f>
        <v>30</v>
      </c>
      <c r="Q203" s="36" t="str">
        <f aca="false">IF(A203="","",IF(P203-L203=M203,"OK","Divergente"))</f>
        <v>OK</v>
      </c>
    </row>
    <row r="204" customFormat="false" ht="15" hidden="false" customHeight="false" outlineLevel="0" collapsed="false">
      <c r="A204" s="17" t="n">
        <v>3433</v>
      </c>
      <c r="B204" s="17" t="s">
        <v>287</v>
      </c>
      <c r="C204" s="17" t="s">
        <v>55</v>
      </c>
      <c r="D204" s="33" t="n">
        <v>45550</v>
      </c>
      <c r="E204" s="17" t="s">
        <v>49</v>
      </c>
      <c r="F204" s="17" t="n">
        <v>5</v>
      </c>
      <c r="G204" s="17" t="s">
        <v>42</v>
      </c>
      <c r="H204" s="17" t="s">
        <v>49</v>
      </c>
      <c r="I204" s="17" t="s">
        <v>92</v>
      </c>
      <c r="J204" s="17" t="s">
        <v>49</v>
      </c>
      <c r="K204" s="17" t="n">
        <v>0</v>
      </c>
      <c r="L204" s="17" t="n">
        <v>1</v>
      </c>
      <c r="M204" s="17" t="n">
        <v>4</v>
      </c>
      <c r="N204" s="34" t="n">
        <f aca="false">IF(D204="","",DATE(YEAR(D204),MONTH(D204),1))</f>
        <v>45536</v>
      </c>
      <c r="O204" s="35" t="n">
        <f aca="false">IF(A204="","",IF(ISNUMBER(I204),I204,0))</f>
        <v>0</v>
      </c>
      <c r="P204" s="35" t="n">
        <f aca="false">IF(A204="","",F204+O204+K204)</f>
        <v>5</v>
      </c>
      <c r="Q204" s="36" t="str">
        <f aca="false">IF(A204="","",IF(P204-L204=M204,"OK","Divergente"))</f>
        <v>OK</v>
      </c>
    </row>
    <row r="205" customFormat="false" ht="15" hidden="false" customHeight="false" outlineLevel="0" collapsed="false">
      <c r="A205" s="17" t="n">
        <v>3434</v>
      </c>
      <c r="B205" s="17" t="s">
        <v>288</v>
      </c>
      <c r="C205" s="17" t="s">
        <v>57</v>
      </c>
      <c r="D205" s="33" t="n">
        <v>45551</v>
      </c>
      <c r="E205" s="17" t="s">
        <v>48</v>
      </c>
      <c r="F205" s="17" t="n">
        <v>15</v>
      </c>
      <c r="G205" s="17" t="s">
        <v>43</v>
      </c>
      <c r="H205" s="17" t="s">
        <v>48</v>
      </c>
      <c r="I205" s="17" t="n">
        <v>30</v>
      </c>
      <c r="J205" s="17" t="s">
        <v>48</v>
      </c>
      <c r="K205" s="17" t="n">
        <v>20</v>
      </c>
      <c r="L205" s="17" t="n">
        <v>7</v>
      </c>
      <c r="M205" s="17" t="n">
        <v>58</v>
      </c>
      <c r="N205" s="34" t="n">
        <f aca="false">IF(D205="","",DATE(YEAR(D205),MONTH(D205),1))</f>
        <v>45536</v>
      </c>
      <c r="O205" s="35" t="n">
        <f aca="false">IF(A205="","",IF(ISNUMBER(I205),I205,0))</f>
        <v>30</v>
      </c>
      <c r="P205" s="35" t="n">
        <f aca="false">IF(A205="","",F205+O205+K205)</f>
        <v>65</v>
      </c>
      <c r="Q205" s="36" t="str">
        <f aca="false">IF(A205="","",IF(P205-L205=M205,"OK","Divergente"))</f>
        <v>OK</v>
      </c>
    </row>
    <row r="206" customFormat="false" ht="15" hidden="false" customHeight="false" outlineLevel="0" collapsed="false">
      <c r="A206" s="17" t="n">
        <v>3435</v>
      </c>
      <c r="B206" s="17" t="s">
        <v>289</v>
      </c>
      <c r="C206" s="17" t="s">
        <v>56</v>
      </c>
      <c r="D206" s="33" t="n">
        <v>45552</v>
      </c>
      <c r="E206" s="17" t="s">
        <v>49</v>
      </c>
      <c r="F206" s="17" t="n">
        <v>10</v>
      </c>
      <c r="G206" s="17" t="s">
        <v>42</v>
      </c>
      <c r="H206" s="17" t="s">
        <v>49</v>
      </c>
      <c r="I206" s="17" t="s">
        <v>92</v>
      </c>
      <c r="J206" s="17" t="s">
        <v>48</v>
      </c>
      <c r="K206" s="17" t="n">
        <v>20</v>
      </c>
      <c r="L206" s="17" t="n">
        <v>10</v>
      </c>
      <c r="M206" s="17" t="n">
        <v>20</v>
      </c>
      <c r="N206" s="34" t="n">
        <f aca="false">IF(D206="","",DATE(YEAR(D206),MONTH(D206),1))</f>
        <v>45536</v>
      </c>
      <c r="O206" s="35" t="n">
        <f aca="false">IF(A206="","",IF(ISNUMBER(I206),I206,0))</f>
        <v>0</v>
      </c>
      <c r="P206" s="35" t="n">
        <f aca="false">IF(A206="","",F206+O206+K206)</f>
        <v>30</v>
      </c>
      <c r="Q206" s="36" t="str">
        <f aca="false">IF(A206="","",IF(P206-L206=M206,"OK","Divergente"))</f>
        <v>OK</v>
      </c>
    </row>
    <row r="207" customFormat="false" ht="15" hidden="false" customHeight="false" outlineLevel="0" collapsed="false">
      <c r="A207" s="17" t="n">
        <v>3436</v>
      </c>
      <c r="B207" s="17" t="s">
        <v>290</v>
      </c>
      <c r="C207" s="17" t="s">
        <v>55</v>
      </c>
      <c r="D207" s="33" t="n">
        <v>45553</v>
      </c>
      <c r="E207" s="17" t="s">
        <v>48</v>
      </c>
      <c r="F207" s="17" t="n">
        <v>5</v>
      </c>
      <c r="G207" s="17" t="s">
        <v>42</v>
      </c>
      <c r="H207" s="17" t="s">
        <v>49</v>
      </c>
      <c r="I207" s="17" t="s">
        <v>92</v>
      </c>
      <c r="J207" s="17" t="s">
        <v>49</v>
      </c>
      <c r="K207" s="17" t="n">
        <v>0</v>
      </c>
      <c r="L207" s="17" t="n">
        <v>0</v>
      </c>
      <c r="M207" s="17" t="n">
        <v>5</v>
      </c>
      <c r="N207" s="34" t="n">
        <f aca="false">IF(D207="","",DATE(YEAR(D207),MONTH(D207),1))</f>
        <v>45536</v>
      </c>
      <c r="O207" s="35" t="n">
        <f aca="false">IF(A207="","",IF(ISNUMBER(I207),I207,0))</f>
        <v>0</v>
      </c>
      <c r="P207" s="35" t="n">
        <f aca="false">IF(A207="","",F207+O207+K207)</f>
        <v>5</v>
      </c>
      <c r="Q207" s="36" t="str">
        <f aca="false">IF(A207="","",IF(P207-L207=M207,"OK","Divergente"))</f>
        <v>OK</v>
      </c>
    </row>
    <row r="208" customFormat="false" ht="15" hidden="false" customHeight="false" outlineLevel="0" collapsed="false">
      <c r="A208" s="17" t="n">
        <v>3437</v>
      </c>
      <c r="B208" s="17" t="s">
        <v>291</v>
      </c>
      <c r="C208" s="17" t="s">
        <v>57</v>
      </c>
      <c r="D208" s="33" t="n">
        <v>45554</v>
      </c>
      <c r="E208" s="17" t="s">
        <v>49</v>
      </c>
      <c r="F208" s="17" t="n">
        <v>15</v>
      </c>
      <c r="G208" s="17" t="s">
        <v>43</v>
      </c>
      <c r="H208" s="17" t="s">
        <v>48</v>
      </c>
      <c r="I208" s="17" t="n">
        <v>30</v>
      </c>
      <c r="J208" s="17" t="s">
        <v>48</v>
      </c>
      <c r="K208" s="17" t="n">
        <v>20</v>
      </c>
      <c r="L208" s="17" t="n">
        <v>7</v>
      </c>
      <c r="M208" s="17" t="n">
        <v>58</v>
      </c>
      <c r="N208" s="34" t="n">
        <f aca="false">IF(D208="","",DATE(YEAR(D208),MONTH(D208),1))</f>
        <v>45536</v>
      </c>
      <c r="O208" s="35" t="n">
        <f aca="false">IF(A208="","",IF(ISNUMBER(I208),I208,0))</f>
        <v>30</v>
      </c>
      <c r="P208" s="35" t="n">
        <f aca="false">IF(A208="","",F208+O208+K208)</f>
        <v>65</v>
      </c>
      <c r="Q208" s="36" t="str">
        <f aca="false">IF(A208="","",IF(P208-L208=M208,"OK","Divergente"))</f>
        <v>OK</v>
      </c>
    </row>
    <row r="209" customFormat="false" ht="15" hidden="false" customHeight="false" outlineLevel="0" collapsed="false">
      <c r="A209" s="17" t="n">
        <v>3438</v>
      </c>
      <c r="B209" s="17" t="s">
        <v>292</v>
      </c>
      <c r="C209" s="17" t="s">
        <v>56</v>
      </c>
      <c r="D209" s="33" t="n">
        <v>45555</v>
      </c>
      <c r="E209" s="17" t="s">
        <v>48</v>
      </c>
      <c r="F209" s="17" t="n">
        <v>10</v>
      </c>
      <c r="G209" s="17" t="s">
        <v>44</v>
      </c>
      <c r="H209" s="17" t="s">
        <v>49</v>
      </c>
      <c r="I209" s="17" t="s">
        <v>92</v>
      </c>
      <c r="J209" s="17" t="s">
        <v>48</v>
      </c>
      <c r="K209" s="17" t="n">
        <v>20</v>
      </c>
      <c r="L209" s="17" t="n">
        <v>10</v>
      </c>
      <c r="M209" s="17" t="n">
        <v>20</v>
      </c>
      <c r="N209" s="34" t="n">
        <f aca="false">IF(D209="","",DATE(YEAR(D209),MONTH(D209),1))</f>
        <v>45536</v>
      </c>
      <c r="O209" s="35" t="n">
        <f aca="false">IF(A209="","",IF(ISNUMBER(I209),I209,0))</f>
        <v>0</v>
      </c>
      <c r="P209" s="35" t="n">
        <f aca="false">IF(A209="","",F209+O209+K209)</f>
        <v>30</v>
      </c>
      <c r="Q209" s="36" t="str">
        <f aca="false">IF(A209="","",IF(P209-L209=M209,"OK","Divergente"))</f>
        <v>OK</v>
      </c>
    </row>
    <row r="210" customFormat="false" ht="15" hidden="false" customHeight="false" outlineLevel="0" collapsed="false">
      <c r="A210" s="17" t="n">
        <v>3439</v>
      </c>
      <c r="B210" s="17" t="s">
        <v>293</v>
      </c>
      <c r="C210" s="17" t="s">
        <v>55</v>
      </c>
      <c r="D210" s="33" t="n">
        <v>45556</v>
      </c>
      <c r="E210" s="17" t="s">
        <v>49</v>
      </c>
      <c r="F210" s="17" t="n">
        <v>5</v>
      </c>
      <c r="G210" s="17" t="s">
        <v>43</v>
      </c>
      <c r="H210" s="17" t="s">
        <v>49</v>
      </c>
      <c r="I210" s="17" t="s">
        <v>92</v>
      </c>
      <c r="J210" s="17" t="s">
        <v>49</v>
      </c>
      <c r="K210" s="17" t="n">
        <v>0</v>
      </c>
      <c r="L210" s="17" t="n">
        <v>1</v>
      </c>
      <c r="M210" s="17" t="n">
        <v>4</v>
      </c>
      <c r="N210" s="34" t="n">
        <f aca="false">IF(D210="","",DATE(YEAR(D210),MONTH(D210),1))</f>
        <v>45536</v>
      </c>
      <c r="O210" s="35" t="n">
        <f aca="false">IF(A210="","",IF(ISNUMBER(I210),I210,0))</f>
        <v>0</v>
      </c>
      <c r="P210" s="35" t="n">
        <f aca="false">IF(A210="","",F210+O210+K210)</f>
        <v>5</v>
      </c>
      <c r="Q210" s="36" t="str">
        <f aca="false">IF(A210="","",IF(P210-L210=M210,"OK","Divergente"))</f>
        <v>OK</v>
      </c>
    </row>
    <row r="211" customFormat="false" ht="15" hidden="false" customHeight="false" outlineLevel="0" collapsed="false">
      <c r="A211" s="17" t="n">
        <v>3440</v>
      </c>
      <c r="B211" s="17" t="s">
        <v>294</v>
      </c>
      <c r="C211" s="17" t="s">
        <v>57</v>
      </c>
      <c r="D211" s="33" t="n">
        <v>45557</v>
      </c>
      <c r="E211" s="17" t="s">
        <v>48</v>
      </c>
      <c r="F211" s="17" t="n">
        <v>15</v>
      </c>
      <c r="G211" s="17" t="s">
        <v>42</v>
      </c>
      <c r="H211" s="17" t="s">
        <v>48</v>
      </c>
      <c r="I211" s="17" t="n">
        <v>30</v>
      </c>
      <c r="J211" s="17" t="s">
        <v>48</v>
      </c>
      <c r="K211" s="17" t="n">
        <v>20</v>
      </c>
      <c r="L211" s="17" t="n">
        <v>15</v>
      </c>
      <c r="M211" s="17" t="n">
        <v>50</v>
      </c>
      <c r="N211" s="34" t="n">
        <f aca="false">IF(D211="","",DATE(YEAR(D211),MONTH(D211),1))</f>
        <v>45536</v>
      </c>
      <c r="O211" s="35" t="n">
        <f aca="false">IF(A211="","",IF(ISNUMBER(I211),I211,0))</f>
        <v>30</v>
      </c>
      <c r="P211" s="35" t="n">
        <f aca="false">IF(A211="","",F211+O211+K211)</f>
        <v>65</v>
      </c>
      <c r="Q211" s="36" t="str">
        <f aca="false">IF(A211="","",IF(P211-L211=M211,"OK","Divergente"))</f>
        <v>OK</v>
      </c>
    </row>
    <row r="212" customFormat="false" ht="15" hidden="false" customHeight="false" outlineLevel="0" collapsed="false">
      <c r="A212" s="17" t="n">
        <v>3441</v>
      </c>
      <c r="B212" s="17" t="s">
        <v>295</v>
      </c>
      <c r="C212" s="17" t="s">
        <v>56</v>
      </c>
      <c r="D212" s="33" t="n">
        <v>45558</v>
      </c>
      <c r="E212" s="17" t="s">
        <v>49</v>
      </c>
      <c r="F212" s="17" t="n">
        <v>10</v>
      </c>
      <c r="G212" s="17" t="s">
        <v>42</v>
      </c>
      <c r="H212" s="17" t="s">
        <v>49</v>
      </c>
      <c r="I212" s="17" t="s">
        <v>92</v>
      </c>
      <c r="J212" s="17" t="s">
        <v>48</v>
      </c>
      <c r="K212" s="17" t="n">
        <v>20</v>
      </c>
      <c r="L212" s="17" t="n">
        <v>5</v>
      </c>
      <c r="M212" s="17" t="n">
        <v>25</v>
      </c>
      <c r="N212" s="34" t="n">
        <f aca="false">IF(D212="","",DATE(YEAR(D212),MONTH(D212),1))</f>
        <v>45536</v>
      </c>
      <c r="O212" s="35" t="n">
        <f aca="false">IF(A212="","",IF(ISNUMBER(I212),I212,0))</f>
        <v>0</v>
      </c>
      <c r="P212" s="35" t="n">
        <f aca="false">IF(A212="","",F212+O212+K212)</f>
        <v>30</v>
      </c>
      <c r="Q212" s="36" t="str">
        <f aca="false">IF(A212="","",IF(P212-L212=M212,"OK","Divergente"))</f>
        <v>OK</v>
      </c>
    </row>
    <row r="213" customFormat="false" ht="15" hidden="false" customHeight="false" outlineLevel="0" collapsed="false">
      <c r="A213" s="17" t="n">
        <v>3442</v>
      </c>
      <c r="B213" s="17" t="s">
        <v>296</v>
      </c>
      <c r="C213" s="17" t="s">
        <v>55</v>
      </c>
      <c r="D213" s="33" t="n">
        <v>45559</v>
      </c>
      <c r="E213" s="17" t="s">
        <v>48</v>
      </c>
      <c r="F213" s="17" t="n">
        <v>5</v>
      </c>
      <c r="G213" s="17" t="s">
        <v>44</v>
      </c>
      <c r="H213" s="17" t="s">
        <v>49</v>
      </c>
      <c r="I213" s="17" t="s">
        <v>92</v>
      </c>
      <c r="J213" s="17" t="s">
        <v>49</v>
      </c>
      <c r="K213" s="17" t="n">
        <v>0</v>
      </c>
      <c r="L213" s="17" t="n">
        <v>0</v>
      </c>
      <c r="M213" s="17" t="n">
        <v>5</v>
      </c>
      <c r="N213" s="34" t="n">
        <f aca="false">IF(D213="","",DATE(YEAR(D213),MONTH(D213),1))</f>
        <v>45536</v>
      </c>
      <c r="O213" s="35" t="n">
        <f aca="false">IF(A213="","",IF(ISNUMBER(I213),I213,0))</f>
        <v>0</v>
      </c>
      <c r="P213" s="35" t="n">
        <f aca="false">IF(A213="","",F213+O213+K213)</f>
        <v>5</v>
      </c>
      <c r="Q213" s="36" t="str">
        <f aca="false">IF(A213="","",IF(P213-L213=M213,"OK","Divergente"))</f>
        <v>OK</v>
      </c>
    </row>
    <row r="214" customFormat="false" ht="15" hidden="false" customHeight="false" outlineLevel="0" collapsed="false">
      <c r="A214" s="17" t="n">
        <v>3443</v>
      </c>
      <c r="B214" s="17" t="s">
        <v>297</v>
      </c>
      <c r="C214" s="17" t="s">
        <v>57</v>
      </c>
      <c r="D214" s="33" t="n">
        <v>45560</v>
      </c>
      <c r="E214" s="17" t="s">
        <v>49</v>
      </c>
      <c r="F214" s="17" t="n">
        <v>15</v>
      </c>
      <c r="G214" s="17" t="s">
        <v>43</v>
      </c>
      <c r="H214" s="17" t="s">
        <v>48</v>
      </c>
      <c r="I214" s="17" t="n">
        <v>30</v>
      </c>
      <c r="J214" s="17" t="s">
        <v>48</v>
      </c>
      <c r="K214" s="17" t="n">
        <v>20</v>
      </c>
      <c r="L214" s="17" t="n">
        <v>20</v>
      </c>
      <c r="M214" s="17" t="n">
        <v>45</v>
      </c>
      <c r="N214" s="34" t="n">
        <f aca="false">IF(D214="","",DATE(YEAR(D214),MONTH(D214),1))</f>
        <v>45536</v>
      </c>
      <c r="O214" s="35" t="n">
        <f aca="false">IF(A214="","",IF(ISNUMBER(I214),I214,0))</f>
        <v>30</v>
      </c>
      <c r="P214" s="35" t="n">
        <f aca="false">IF(A214="","",F214+O214+K214)</f>
        <v>65</v>
      </c>
      <c r="Q214" s="36" t="str">
        <f aca="false">IF(A214="","",IF(P214-L214=M214,"OK","Divergente"))</f>
        <v>OK</v>
      </c>
    </row>
    <row r="215" customFormat="false" ht="15" hidden="false" customHeight="false" outlineLevel="0" collapsed="false">
      <c r="A215" s="17" t="n">
        <v>3444</v>
      </c>
      <c r="B215" s="17" t="s">
        <v>298</v>
      </c>
      <c r="C215" s="17" t="s">
        <v>56</v>
      </c>
      <c r="D215" s="33" t="n">
        <v>45561</v>
      </c>
      <c r="E215" s="17" t="s">
        <v>48</v>
      </c>
      <c r="F215" s="17" t="n">
        <v>10</v>
      </c>
      <c r="G215" s="17" t="s">
        <v>43</v>
      </c>
      <c r="H215" s="17" t="s">
        <v>49</v>
      </c>
      <c r="I215" s="17" t="s">
        <v>92</v>
      </c>
      <c r="J215" s="17" t="s">
        <v>48</v>
      </c>
      <c r="K215" s="17" t="n">
        <v>20</v>
      </c>
      <c r="L215" s="17" t="n">
        <v>12</v>
      </c>
      <c r="M215" s="17" t="n">
        <v>18</v>
      </c>
      <c r="N215" s="34" t="n">
        <f aca="false">IF(D215="","",DATE(YEAR(D215),MONTH(D215),1))</f>
        <v>45536</v>
      </c>
      <c r="O215" s="35" t="n">
        <f aca="false">IF(A215="","",IF(ISNUMBER(I215),I215,0))</f>
        <v>0</v>
      </c>
      <c r="P215" s="35" t="n">
        <f aca="false">IF(A215="","",F215+O215+K215)</f>
        <v>30</v>
      </c>
      <c r="Q215" s="36" t="str">
        <f aca="false">IF(A215="","",IF(P215-L215=M215,"OK","Divergente"))</f>
        <v>OK</v>
      </c>
    </row>
    <row r="216" customFormat="false" ht="15" hidden="false" customHeight="false" outlineLevel="0" collapsed="false">
      <c r="A216" s="17" t="n">
        <v>3445</v>
      </c>
      <c r="B216" s="17" t="s">
        <v>128</v>
      </c>
      <c r="C216" s="17" t="s">
        <v>55</v>
      </c>
      <c r="D216" s="33" t="n">
        <v>45562</v>
      </c>
      <c r="E216" s="17" t="s">
        <v>49</v>
      </c>
      <c r="F216" s="17" t="n">
        <v>5</v>
      </c>
      <c r="G216" s="17" t="s">
        <v>42</v>
      </c>
      <c r="H216" s="17" t="s">
        <v>49</v>
      </c>
      <c r="I216" s="17" t="s">
        <v>92</v>
      </c>
      <c r="J216" s="17" t="s">
        <v>49</v>
      </c>
      <c r="K216" s="17" t="n">
        <v>0</v>
      </c>
      <c r="L216" s="17" t="n">
        <v>2</v>
      </c>
      <c r="M216" s="17" t="n">
        <v>3</v>
      </c>
      <c r="N216" s="34" t="n">
        <f aca="false">IF(D216="","",DATE(YEAR(D216),MONTH(D216),1))</f>
        <v>45536</v>
      </c>
      <c r="O216" s="35" t="n">
        <f aca="false">IF(A216="","",IF(ISNUMBER(I216),I216,0))</f>
        <v>0</v>
      </c>
      <c r="P216" s="35" t="n">
        <f aca="false">IF(A216="","",F216+O216+K216)</f>
        <v>5</v>
      </c>
      <c r="Q216" s="36" t="str">
        <f aca="false">IF(A216="","",IF(P216-L216=M216,"OK","Divergente"))</f>
        <v>OK</v>
      </c>
    </row>
    <row r="217" customFormat="false" ht="15" hidden="false" customHeight="false" outlineLevel="0" collapsed="false">
      <c r="A217" s="17" t="n">
        <v>3446</v>
      </c>
      <c r="B217" s="17" t="s">
        <v>299</v>
      </c>
      <c r="C217" s="17" t="s">
        <v>57</v>
      </c>
      <c r="D217" s="33" t="n">
        <v>45563</v>
      </c>
      <c r="E217" s="17" t="s">
        <v>48</v>
      </c>
      <c r="F217" s="17" t="n">
        <v>15</v>
      </c>
      <c r="G217" s="17" t="s">
        <v>44</v>
      </c>
      <c r="H217" s="17" t="s">
        <v>48</v>
      </c>
      <c r="I217" s="17" t="n">
        <v>30</v>
      </c>
      <c r="J217" s="17" t="s">
        <v>48</v>
      </c>
      <c r="K217" s="17" t="n">
        <v>20</v>
      </c>
      <c r="L217" s="17" t="n">
        <v>5</v>
      </c>
      <c r="M217" s="17" t="n">
        <v>60</v>
      </c>
      <c r="N217" s="34" t="n">
        <f aca="false">IF(D217="","",DATE(YEAR(D217),MONTH(D217),1))</f>
        <v>45536</v>
      </c>
      <c r="O217" s="35" t="n">
        <f aca="false">IF(A217="","",IF(ISNUMBER(I217),I217,0))</f>
        <v>30</v>
      </c>
      <c r="P217" s="35" t="n">
        <f aca="false">IF(A217="","",F217+O217+K217)</f>
        <v>65</v>
      </c>
      <c r="Q217" s="36" t="str">
        <f aca="false">IF(A217="","",IF(P217-L217=M217,"OK","Divergente"))</f>
        <v>OK</v>
      </c>
    </row>
    <row r="218" customFormat="false" ht="15" hidden="false" customHeight="false" outlineLevel="0" collapsed="false">
      <c r="A218" s="17" t="n">
        <v>3447</v>
      </c>
      <c r="B218" s="17" t="s">
        <v>300</v>
      </c>
      <c r="C218" s="17" t="s">
        <v>56</v>
      </c>
      <c r="D218" s="33" t="n">
        <v>45564</v>
      </c>
      <c r="E218" s="17" t="s">
        <v>49</v>
      </c>
      <c r="F218" s="17" t="n">
        <v>10</v>
      </c>
      <c r="G218" s="17" t="s">
        <v>42</v>
      </c>
      <c r="H218" s="17" t="s">
        <v>49</v>
      </c>
      <c r="I218" s="17" t="s">
        <v>92</v>
      </c>
      <c r="J218" s="17" t="s">
        <v>48</v>
      </c>
      <c r="K218" s="17" t="n">
        <v>20</v>
      </c>
      <c r="L218" s="17" t="n">
        <v>10</v>
      </c>
      <c r="M218" s="17" t="n">
        <v>20</v>
      </c>
      <c r="N218" s="34" t="n">
        <f aca="false">IF(D218="","",DATE(YEAR(D218),MONTH(D218),1))</f>
        <v>45536</v>
      </c>
      <c r="O218" s="35" t="n">
        <f aca="false">IF(A218="","",IF(ISNUMBER(I218),I218,0))</f>
        <v>0</v>
      </c>
      <c r="P218" s="35" t="n">
        <f aca="false">IF(A218="","",F218+O218+K218)</f>
        <v>30</v>
      </c>
      <c r="Q218" s="36" t="str">
        <f aca="false">IF(A218="","",IF(P218-L218=M218,"OK","Divergente"))</f>
        <v>OK</v>
      </c>
    </row>
    <row r="219" customFormat="false" ht="15" hidden="false" customHeight="false" outlineLevel="0" collapsed="false">
      <c r="A219" s="17" t="n">
        <v>3448</v>
      </c>
      <c r="B219" s="17" t="s">
        <v>301</v>
      </c>
      <c r="C219" s="17" t="s">
        <v>55</v>
      </c>
      <c r="D219" s="33" t="n">
        <v>45565</v>
      </c>
      <c r="E219" s="17" t="s">
        <v>48</v>
      </c>
      <c r="F219" s="17" t="n">
        <v>5</v>
      </c>
      <c r="G219" s="17" t="s">
        <v>43</v>
      </c>
      <c r="H219" s="17" t="s">
        <v>49</v>
      </c>
      <c r="I219" s="17" t="s">
        <v>92</v>
      </c>
      <c r="J219" s="17" t="s">
        <v>49</v>
      </c>
      <c r="K219" s="17" t="n">
        <v>0</v>
      </c>
      <c r="L219" s="17" t="n">
        <v>0</v>
      </c>
      <c r="M219" s="17" t="n">
        <v>5</v>
      </c>
      <c r="N219" s="34" t="n">
        <f aca="false">IF(D219="","",DATE(YEAR(D219),MONTH(D219),1))</f>
        <v>45536</v>
      </c>
      <c r="O219" s="35" t="n">
        <f aca="false">IF(A219="","",IF(ISNUMBER(I219),I219,0))</f>
        <v>0</v>
      </c>
      <c r="P219" s="35" t="n">
        <f aca="false">IF(A219="","",F219+O219+K219)</f>
        <v>5</v>
      </c>
      <c r="Q219" s="36" t="str">
        <f aca="false">IF(A219="","",IF(P219-L219=M219,"OK","Divergente"))</f>
        <v>OK</v>
      </c>
    </row>
    <row r="220" customFormat="false" ht="15" hidden="false" customHeight="false" outlineLevel="0" collapsed="false">
      <c r="A220" s="17" t="n">
        <v>3449</v>
      </c>
      <c r="B220" s="17" t="s">
        <v>302</v>
      </c>
      <c r="C220" s="17" t="s">
        <v>57</v>
      </c>
      <c r="D220" s="33" t="n">
        <v>45566</v>
      </c>
      <c r="E220" s="17" t="s">
        <v>49</v>
      </c>
      <c r="F220" s="17" t="n">
        <v>15</v>
      </c>
      <c r="G220" s="17" t="s">
        <v>42</v>
      </c>
      <c r="H220" s="17" t="s">
        <v>48</v>
      </c>
      <c r="I220" s="17" t="n">
        <v>30</v>
      </c>
      <c r="J220" s="17" t="s">
        <v>48</v>
      </c>
      <c r="K220" s="17" t="n">
        <v>20</v>
      </c>
      <c r="L220" s="17" t="n">
        <v>3</v>
      </c>
      <c r="M220" s="17" t="n">
        <v>62</v>
      </c>
      <c r="N220" s="34" t="n">
        <f aca="false">IF(D220="","",DATE(YEAR(D220),MONTH(D220),1))</f>
        <v>45566</v>
      </c>
      <c r="O220" s="35" t="n">
        <f aca="false">IF(A220="","",IF(ISNUMBER(I220),I220,0))</f>
        <v>30</v>
      </c>
      <c r="P220" s="35" t="n">
        <f aca="false">IF(A220="","",F220+O220+K220)</f>
        <v>65</v>
      </c>
      <c r="Q220" s="36" t="str">
        <f aca="false">IF(A220="","",IF(P220-L220=M220,"OK","Divergente"))</f>
        <v>OK</v>
      </c>
    </row>
    <row r="221" customFormat="false" ht="15" hidden="false" customHeight="false" outlineLevel="0" collapsed="false">
      <c r="A221" s="17" t="n">
        <v>3450</v>
      </c>
      <c r="B221" s="17" t="s">
        <v>303</v>
      </c>
      <c r="C221" s="17" t="s">
        <v>56</v>
      </c>
      <c r="D221" s="33" t="n">
        <v>45567</v>
      </c>
      <c r="E221" s="17" t="s">
        <v>48</v>
      </c>
      <c r="F221" s="17" t="n">
        <v>10</v>
      </c>
      <c r="G221" s="17" t="s">
        <v>44</v>
      </c>
      <c r="H221" s="17" t="s">
        <v>49</v>
      </c>
      <c r="I221" s="17" t="s">
        <v>92</v>
      </c>
      <c r="J221" s="17" t="s">
        <v>48</v>
      </c>
      <c r="K221" s="17" t="n">
        <v>20</v>
      </c>
      <c r="L221" s="17" t="n">
        <v>15</v>
      </c>
      <c r="M221" s="17" t="n">
        <v>15</v>
      </c>
      <c r="N221" s="34" t="n">
        <f aca="false">IF(D221="","",DATE(YEAR(D221),MONTH(D221),1))</f>
        <v>45566</v>
      </c>
      <c r="O221" s="35" t="n">
        <f aca="false">IF(A221="","",IF(ISNUMBER(I221),I221,0))</f>
        <v>0</v>
      </c>
      <c r="P221" s="35" t="n">
        <f aca="false">IF(A221="","",F221+O221+K221)</f>
        <v>30</v>
      </c>
      <c r="Q221" s="36" t="str">
        <f aca="false">IF(A221="","",IF(P221-L221=M221,"OK","Divergente"))</f>
        <v>OK</v>
      </c>
    </row>
    <row r="222" customFormat="false" ht="15" hidden="false" customHeight="false" outlineLevel="0" collapsed="false">
      <c r="A222" s="17" t="n">
        <v>3451</v>
      </c>
      <c r="B222" s="17" t="s">
        <v>304</v>
      </c>
      <c r="C222" s="17" t="s">
        <v>55</v>
      </c>
      <c r="D222" s="33" t="n">
        <v>45568</v>
      </c>
      <c r="E222" s="17" t="s">
        <v>49</v>
      </c>
      <c r="F222" s="17" t="n">
        <v>5</v>
      </c>
      <c r="G222" s="17" t="s">
        <v>42</v>
      </c>
      <c r="H222" s="17" t="s">
        <v>49</v>
      </c>
      <c r="I222" s="17" t="s">
        <v>92</v>
      </c>
      <c r="J222" s="17" t="s">
        <v>49</v>
      </c>
      <c r="K222" s="17" t="n">
        <v>0</v>
      </c>
      <c r="L222" s="17" t="n">
        <v>1</v>
      </c>
      <c r="M222" s="17" t="n">
        <v>4</v>
      </c>
      <c r="N222" s="34" t="n">
        <f aca="false">IF(D222="","",DATE(YEAR(D222),MONTH(D222),1))</f>
        <v>45566</v>
      </c>
      <c r="O222" s="35" t="n">
        <f aca="false">IF(A222="","",IF(ISNUMBER(I222),I222,0))</f>
        <v>0</v>
      </c>
      <c r="P222" s="35" t="n">
        <f aca="false">IF(A222="","",F222+O222+K222)</f>
        <v>5</v>
      </c>
      <c r="Q222" s="36" t="str">
        <f aca="false">IF(A222="","",IF(P222-L222=M222,"OK","Divergente"))</f>
        <v>OK</v>
      </c>
    </row>
    <row r="223" customFormat="false" ht="15" hidden="false" customHeight="false" outlineLevel="0" collapsed="false">
      <c r="A223" s="17" t="n">
        <v>3452</v>
      </c>
      <c r="B223" s="17" t="s">
        <v>282</v>
      </c>
      <c r="C223" s="17" t="s">
        <v>57</v>
      </c>
      <c r="D223" s="33" t="n">
        <v>45569</v>
      </c>
      <c r="E223" s="17" t="s">
        <v>48</v>
      </c>
      <c r="F223" s="17" t="n">
        <v>15</v>
      </c>
      <c r="G223" s="17" t="s">
        <v>43</v>
      </c>
      <c r="H223" s="17" t="s">
        <v>48</v>
      </c>
      <c r="I223" s="17" t="n">
        <v>30</v>
      </c>
      <c r="J223" s="17" t="s">
        <v>48</v>
      </c>
      <c r="K223" s="17" t="n">
        <v>20</v>
      </c>
      <c r="L223" s="17" t="n">
        <v>7</v>
      </c>
      <c r="M223" s="17" t="n">
        <v>58</v>
      </c>
      <c r="N223" s="34" t="n">
        <f aca="false">IF(D223="","",DATE(YEAR(D223),MONTH(D223),1))</f>
        <v>45566</v>
      </c>
      <c r="O223" s="35" t="n">
        <f aca="false">IF(A223="","",IF(ISNUMBER(I223),I223,0))</f>
        <v>30</v>
      </c>
      <c r="P223" s="35" t="n">
        <f aca="false">IF(A223="","",F223+O223+K223)</f>
        <v>65</v>
      </c>
      <c r="Q223" s="36" t="str">
        <f aca="false">IF(A223="","",IF(P223-L223=M223,"OK","Divergente"))</f>
        <v>OK</v>
      </c>
    </row>
    <row r="224" customFormat="false" ht="15" hidden="false" customHeight="false" outlineLevel="0" collapsed="false">
      <c r="A224" s="17" t="n">
        <v>3453</v>
      </c>
      <c r="B224" s="17" t="s">
        <v>136</v>
      </c>
      <c r="C224" s="17" t="s">
        <v>56</v>
      </c>
      <c r="D224" s="33" t="n">
        <v>45570</v>
      </c>
      <c r="E224" s="17" t="s">
        <v>49</v>
      </c>
      <c r="F224" s="17" t="n">
        <v>10</v>
      </c>
      <c r="G224" s="17" t="s">
        <v>42</v>
      </c>
      <c r="H224" s="17" t="s">
        <v>49</v>
      </c>
      <c r="I224" s="17" t="s">
        <v>92</v>
      </c>
      <c r="J224" s="17" t="s">
        <v>48</v>
      </c>
      <c r="K224" s="17" t="n">
        <v>20</v>
      </c>
      <c r="L224" s="17" t="n">
        <v>10</v>
      </c>
      <c r="M224" s="17" t="n">
        <v>20</v>
      </c>
      <c r="N224" s="34" t="n">
        <f aca="false">IF(D224="","",DATE(YEAR(D224),MONTH(D224),1))</f>
        <v>45566</v>
      </c>
      <c r="O224" s="35" t="n">
        <f aca="false">IF(A224="","",IF(ISNUMBER(I224),I224,0))</f>
        <v>0</v>
      </c>
      <c r="P224" s="35" t="n">
        <f aca="false">IF(A224="","",F224+O224+K224)</f>
        <v>30</v>
      </c>
      <c r="Q224" s="36" t="str">
        <f aca="false">IF(A224="","",IF(P224-L224=M224,"OK","Divergente"))</f>
        <v>OK</v>
      </c>
    </row>
    <row r="225" customFormat="false" ht="15" hidden="false" customHeight="false" outlineLevel="0" collapsed="false">
      <c r="A225" s="17" t="n">
        <v>3454</v>
      </c>
      <c r="B225" s="17" t="s">
        <v>305</v>
      </c>
      <c r="C225" s="17" t="s">
        <v>55</v>
      </c>
      <c r="D225" s="33" t="n">
        <v>45571</v>
      </c>
      <c r="E225" s="17" t="s">
        <v>48</v>
      </c>
      <c r="F225" s="17" t="n">
        <v>5</v>
      </c>
      <c r="G225" s="17" t="s">
        <v>44</v>
      </c>
      <c r="H225" s="17" t="s">
        <v>49</v>
      </c>
      <c r="I225" s="17" t="s">
        <v>92</v>
      </c>
      <c r="J225" s="17" t="s">
        <v>49</v>
      </c>
      <c r="K225" s="17" t="n">
        <v>0</v>
      </c>
      <c r="L225" s="17" t="n">
        <v>0</v>
      </c>
      <c r="M225" s="17" t="n">
        <v>5</v>
      </c>
      <c r="N225" s="34" t="n">
        <f aca="false">IF(D225="","",DATE(YEAR(D225),MONTH(D225),1))</f>
        <v>45566</v>
      </c>
      <c r="O225" s="35" t="n">
        <f aca="false">IF(A225="","",IF(ISNUMBER(I225),I225,0))</f>
        <v>0</v>
      </c>
      <c r="P225" s="35" t="n">
        <f aca="false">IF(A225="","",F225+O225+K225)</f>
        <v>5</v>
      </c>
      <c r="Q225" s="36" t="str">
        <f aca="false">IF(A225="","",IF(P225-L225=M225,"OK","Divergente"))</f>
        <v>OK</v>
      </c>
    </row>
    <row r="226" customFormat="false" ht="15" hidden="false" customHeight="false" outlineLevel="0" collapsed="false">
      <c r="A226" s="17" t="n">
        <v>3455</v>
      </c>
      <c r="B226" s="17" t="s">
        <v>306</v>
      </c>
      <c r="C226" s="17" t="s">
        <v>57</v>
      </c>
      <c r="D226" s="33" t="n">
        <v>45572</v>
      </c>
      <c r="E226" s="17" t="s">
        <v>49</v>
      </c>
      <c r="F226" s="17" t="n">
        <v>15</v>
      </c>
      <c r="G226" s="17" t="s">
        <v>42</v>
      </c>
      <c r="H226" s="17" t="s">
        <v>48</v>
      </c>
      <c r="I226" s="17" t="n">
        <v>30</v>
      </c>
      <c r="J226" s="17" t="s">
        <v>48</v>
      </c>
      <c r="K226" s="17" t="n">
        <v>20</v>
      </c>
      <c r="L226" s="17" t="n">
        <v>20</v>
      </c>
      <c r="M226" s="17" t="n">
        <v>45</v>
      </c>
      <c r="N226" s="34" t="n">
        <f aca="false">IF(D226="","",DATE(YEAR(D226),MONTH(D226),1))</f>
        <v>45566</v>
      </c>
      <c r="O226" s="35" t="n">
        <f aca="false">IF(A226="","",IF(ISNUMBER(I226),I226,0))</f>
        <v>30</v>
      </c>
      <c r="P226" s="35" t="n">
        <f aca="false">IF(A226="","",F226+O226+K226)</f>
        <v>65</v>
      </c>
      <c r="Q226" s="36" t="str">
        <f aca="false">IF(A226="","",IF(P226-L226=M226,"OK","Divergente"))</f>
        <v>OK</v>
      </c>
    </row>
    <row r="227" customFormat="false" ht="15" hidden="false" customHeight="false" outlineLevel="0" collapsed="false">
      <c r="A227" s="17" t="n">
        <v>3456</v>
      </c>
      <c r="B227" s="17" t="s">
        <v>307</v>
      </c>
      <c r="C227" s="17" t="s">
        <v>56</v>
      </c>
      <c r="D227" s="33" t="n">
        <v>45573</v>
      </c>
      <c r="E227" s="17" t="s">
        <v>48</v>
      </c>
      <c r="F227" s="17" t="n">
        <v>10</v>
      </c>
      <c r="G227" s="17" t="s">
        <v>43</v>
      </c>
      <c r="H227" s="17" t="s">
        <v>49</v>
      </c>
      <c r="I227" s="17" t="s">
        <v>92</v>
      </c>
      <c r="J227" s="17" t="s">
        <v>48</v>
      </c>
      <c r="K227" s="17" t="n">
        <v>20</v>
      </c>
      <c r="L227" s="17" t="n">
        <v>15</v>
      </c>
      <c r="M227" s="17" t="n">
        <v>15</v>
      </c>
      <c r="N227" s="34" t="n">
        <f aca="false">IF(D227="","",DATE(YEAR(D227),MONTH(D227),1))</f>
        <v>45566</v>
      </c>
      <c r="O227" s="35" t="n">
        <f aca="false">IF(A227="","",IF(ISNUMBER(I227),I227,0))</f>
        <v>0</v>
      </c>
      <c r="P227" s="35" t="n">
        <f aca="false">IF(A227="","",F227+O227+K227)</f>
        <v>30</v>
      </c>
      <c r="Q227" s="36" t="str">
        <f aca="false">IF(A227="","",IF(P227-L227=M227,"OK","Divergente"))</f>
        <v>OK</v>
      </c>
    </row>
    <row r="228" customFormat="false" ht="15" hidden="false" customHeight="false" outlineLevel="0" collapsed="false">
      <c r="A228" s="17" t="n">
        <v>3457</v>
      </c>
      <c r="B228" s="17" t="s">
        <v>308</v>
      </c>
      <c r="C228" s="17" t="s">
        <v>55</v>
      </c>
      <c r="D228" s="33" t="n">
        <v>45574</v>
      </c>
      <c r="E228" s="17" t="s">
        <v>49</v>
      </c>
      <c r="F228" s="17" t="n">
        <v>5</v>
      </c>
      <c r="G228" s="17" t="s">
        <v>42</v>
      </c>
      <c r="H228" s="17" t="s">
        <v>49</v>
      </c>
      <c r="I228" s="17" t="s">
        <v>92</v>
      </c>
      <c r="J228" s="17" t="s">
        <v>49</v>
      </c>
      <c r="K228" s="17" t="n">
        <v>0</v>
      </c>
      <c r="L228" s="17" t="n">
        <v>1</v>
      </c>
      <c r="M228" s="17" t="n">
        <v>4</v>
      </c>
      <c r="N228" s="34" t="n">
        <f aca="false">IF(D228="","",DATE(YEAR(D228),MONTH(D228),1))</f>
        <v>45566</v>
      </c>
      <c r="O228" s="35" t="n">
        <f aca="false">IF(A228="","",IF(ISNUMBER(I228),I228,0))</f>
        <v>0</v>
      </c>
      <c r="P228" s="35" t="n">
        <f aca="false">IF(A228="","",F228+O228+K228)</f>
        <v>5</v>
      </c>
      <c r="Q228" s="36" t="str">
        <f aca="false">IF(A228="","",IF(P228-L228=M228,"OK","Divergente"))</f>
        <v>OK</v>
      </c>
    </row>
    <row r="229" customFormat="false" ht="15" hidden="false" customHeight="false" outlineLevel="0" collapsed="false">
      <c r="A229" s="17" t="n">
        <v>3458</v>
      </c>
      <c r="B229" s="17" t="s">
        <v>309</v>
      </c>
      <c r="C229" s="17" t="s">
        <v>57</v>
      </c>
      <c r="D229" s="33" t="n">
        <v>45575</v>
      </c>
      <c r="E229" s="17" t="s">
        <v>48</v>
      </c>
      <c r="F229" s="17" t="n">
        <v>15</v>
      </c>
      <c r="G229" s="17" t="s">
        <v>44</v>
      </c>
      <c r="H229" s="17" t="s">
        <v>48</v>
      </c>
      <c r="I229" s="17" t="n">
        <v>30</v>
      </c>
      <c r="J229" s="17" t="s">
        <v>48</v>
      </c>
      <c r="K229" s="17" t="n">
        <v>20</v>
      </c>
      <c r="L229" s="17" t="n">
        <v>3</v>
      </c>
      <c r="M229" s="17" t="n">
        <v>62</v>
      </c>
      <c r="N229" s="34" t="n">
        <f aca="false">IF(D229="","",DATE(YEAR(D229),MONTH(D229),1))</f>
        <v>45566</v>
      </c>
      <c r="O229" s="35" t="n">
        <f aca="false">IF(A229="","",IF(ISNUMBER(I229),I229,0))</f>
        <v>30</v>
      </c>
      <c r="P229" s="35" t="n">
        <f aca="false">IF(A229="","",F229+O229+K229)</f>
        <v>65</v>
      </c>
      <c r="Q229" s="36" t="str">
        <f aca="false">IF(A229="","",IF(P229-L229=M229,"OK","Divergente"))</f>
        <v>OK</v>
      </c>
    </row>
    <row r="230" customFormat="false" ht="15" hidden="false" customHeight="false" outlineLevel="0" collapsed="false">
      <c r="A230" s="17" t="n">
        <v>3459</v>
      </c>
      <c r="B230" s="17" t="s">
        <v>310</v>
      </c>
      <c r="C230" s="17" t="s">
        <v>56</v>
      </c>
      <c r="D230" s="33" t="n">
        <v>45576</v>
      </c>
      <c r="E230" s="17" t="s">
        <v>49</v>
      </c>
      <c r="F230" s="17" t="n">
        <v>10</v>
      </c>
      <c r="G230" s="17" t="s">
        <v>42</v>
      </c>
      <c r="H230" s="17" t="s">
        <v>49</v>
      </c>
      <c r="I230" s="17" t="s">
        <v>92</v>
      </c>
      <c r="J230" s="17" t="s">
        <v>48</v>
      </c>
      <c r="K230" s="17" t="n">
        <v>20</v>
      </c>
      <c r="L230" s="17" t="n">
        <v>10</v>
      </c>
      <c r="M230" s="17" t="n">
        <v>20</v>
      </c>
      <c r="N230" s="34" t="n">
        <f aca="false">IF(D230="","",DATE(YEAR(D230),MONTH(D230),1))</f>
        <v>45566</v>
      </c>
      <c r="O230" s="35" t="n">
        <f aca="false">IF(A230="","",IF(ISNUMBER(I230),I230,0))</f>
        <v>0</v>
      </c>
      <c r="P230" s="35" t="n">
        <f aca="false">IF(A230="","",F230+O230+K230)</f>
        <v>30</v>
      </c>
      <c r="Q230" s="36" t="str">
        <f aca="false">IF(A230="","",IF(P230-L230=M230,"OK","Divergente"))</f>
        <v>OK</v>
      </c>
    </row>
    <row r="231" customFormat="false" ht="15" hidden="false" customHeight="false" outlineLevel="0" collapsed="false">
      <c r="A231" s="17" t="n">
        <v>3460</v>
      </c>
      <c r="B231" s="17" t="s">
        <v>218</v>
      </c>
      <c r="C231" s="17" t="s">
        <v>55</v>
      </c>
      <c r="D231" s="33" t="n">
        <v>45577</v>
      </c>
      <c r="E231" s="17" t="s">
        <v>48</v>
      </c>
      <c r="F231" s="17" t="n">
        <v>5</v>
      </c>
      <c r="G231" s="17" t="s">
        <v>43</v>
      </c>
      <c r="H231" s="17" t="s">
        <v>49</v>
      </c>
      <c r="I231" s="17" t="s">
        <v>92</v>
      </c>
      <c r="J231" s="17" t="s">
        <v>49</v>
      </c>
      <c r="K231" s="17" t="n">
        <v>0</v>
      </c>
      <c r="L231" s="17" t="n">
        <v>0</v>
      </c>
      <c r="M231" s="17" t="n">
        <v>5</v>
      </c>
      <c r="N231" s="34" t="n">
        <f aca="false">IF(D231="","",DATE(YEAR(D231),MONTH(D231),1))</f>
        <v>45566</v>
      </c>
      <c r="O231" s="35" t="n">
        <f aca="false">IF(A231="","",IF(ISNUMBER(I231),I231,0))</f>
        <v>0</v>
      </c>
      <c r="P231" s="35" t="n">
        <f aca="false">IF(A231="","",F231+O231+K231)</f>
        <v>5</v>
      </c>
      <c r="Q231" s="36" t="str">
        <f aca="false">IF(A231="","",IF(P231-L231=M231,"OK","Divergente"))</f>
        <v>OK</v>
      </c>
    </row>
    <row r="232" customFormat="false" ht="15" hidden="false" customHeight="false" outlineLevel="0" collapsed="false">
      <c r="A232" s="17" t="n">
        <v>3461</v>
      </c>
      <c r="B232" s="17" t="s">
        <v>311</v>
      </c>
      <c r="C232" s="17" t="s">
        <v>57</v>
      </c>
      <c r="D232" s="33" t="n">
        <v>45578</v>
      </c>
      <c r="E232" s="17" t="s">
        <v>49</v>
      </c>
      <c r="F232" s="17" t="n">
        <v>15</v>
      </c>
      <c r="G232" s="17" t="s">
        <v>42</v>
      </c>
      <c r="H232" s="17" t="s">
        <v>48</v>
      </c>
      <c r="I232" s="17" t="n">
        <v>30</v>
      </c>
      <c r="J232" s="17" t="s">
        <v>48</v>
      </c>
      <c r="K232" s="17" t="n">
        <v>20</v>
      </c>
      <c r="L232" s="17" t="n">
        <v>15</v>
      </c>
      <c r="M232" s="17" t="n">
        <v>50</v>
      </c>
      <c r="N232" s="34" t="n">
        <f aca="false">IF(D232="","",DATE(YEAR(D232),MONTH(D232),1))</f>
        <v>45566</v>
      </c>
      <c r="O232" s="35" t="n">
        <f aca="false">IF(A232="","",IF(ISNUMBER(I232),I232,0))</f>
        <v>30</v>
      </c>
      <c r="P232" s="35" t="n">
        <f aca="false">IF(A232="","",F232+O232+K232)</f>
        <v>65</v>
      </c>
      <c r="Q232" s="36" t="str">
        <f aca="false">IF(A232="","",IF(P232-L232=M232,"OK","Divergente"))</f>
        <v>OK</v>
      </c>
    </row>
    <row r="233" customFormat="false" ht="15" hidden="false" customHeight="false" outlineLevel="0" collapsed="false">
      <c r="A233" s="17" t="n">
        <v>3462</v>
      </c>
      <c r="B233" s="17" t="s">
        <v>312</v>
      </c>
      <c r="C233" s="17" t="s">
        <v>56</v>
      </c>
      <c r="D233" s="33" t="n">
        <v>45579</v>
      </c>
      <c r="E233" s="17" t="s">
        <v>48</v>
      </c>
      <c r="F233" s="17" t="n">
        <v>10</v>
      </c>
      <c r="G233" s="17" t="s">
        <v>44</v>
      </c>
      <c r="H233" s="17" t="s">
        <v>49</v>
      </c>
      <c r="I233" s="17" t="s">
        <v>92</v>
      </c>
      <c r="J233" s="17" t="s">
        <v>48</v>
      </c>
      <c r="K233" s="17" t="n">
        <v>20</v>
      </c>
      <c r="L233" s="17" t="n">
        <v>15</v>
      </c>
      <c r="M233" s="17" t="n">
        <v>15</v>
      </c>
      <c r="N233" s="34" t="n">
        <f aca="false">IF(D233="","",DATE(YEAR(D233),MONTH(D233),1))</f>
        <v>45566</v>
      </c>
      <c r="O233" s="35" t="n">
        <f aca="false">IF(A233="","",IF(ISNUMBER(I233),I233,0))</f>
        <v>0</v>
      </c>
      <c r="P233" s="35" t="n">
        <f aca="false">IF(A233="","",F233+O233+K233)</f>
        <v>30</v>
      </c>
      <c r="Q233" s="36" t="str">
        <f aca="false">IF(A233="","",IF(P233-L233=M233,"OK","Divergente"))</f>
        <v>OK</v>
      </c>
    </row>
    <row r="234" customFormat="false" ht="15" hidden="false" customHeight="false" outlineLevel="0" collapsed="false">
      <c r="A234" s="17" t="n">
        <v>3463</v>
      </c>
      <c r="B234" s="17" t="s">
        <v>313</v>
      </c>
      <c r="C234" s="17" t="s">
        <v>55</v>
      </c>
      <c r="D234" s="33" t="n">
        <v>45580</v>
      </c>
      <c r="E234" s="17" t="s">
        <v>49</v>
      </c>
      <c r="F234" s="17" t="n">
        <v>5</v>
      </c>
      <c r="G234" s="17" t="s">
        <v>42</v>
      </c>
      <c r="H234" s="17" t="s">
        <v>49</v>
      </c>
      <c r="I234" s="17" t="s">
        <v>92</v>
      </c>
      <c r="J234" s="17" t="s">
        <v>49</v>
      </c>
      <c r="K234" s="17" t="n">
        <v>0</v>
      </c>
      <c r="L234" s="17" t="n">
        <v>1</v>
      </c>
      <c r="M234" s="17" t="n">
        <v>4</v>
      </c>
      <c r="N234" s="34" t="n">
        <f aca="false">IF(D234="","",DATE(YEAR(D234),MONTH(D234),1))</f>
        <v>45566</v>
      </c>
      <c r="O234" s="35" t="n">
        <f aca="false">IF(A234="","",IF(ISNUMBER(I234),I234,0))</f>
        <v>0</v>
      </c>
      <c r="P234" s="35" t="n">
        <f aca="false">IF(A234="","",F234+O234+K234)</f>
        <v>5</v>
      </c>
      <c r="Q234" s="36" t="str">
        <f aca="false">IF(A234="","",IF(P234-L234=M234,"OK","Divergente"))</f>
        <v>OK</v>
      </c>
    </row>
    <row r="235" customFormat="false" ht="15" hidden="false" customHeight="false" outlineLevel="0" collapsed="false">
      <c r="A235" s="17" t="n">
        <v>3464</v>
      </c>
      <c r="B235" s="17" t="s">
        <v>314</v>
      </c>
      <c r="C235" s="17" t="s">
        <v>57</v>
      </c>
      <c r="D235" s="33" t="n">
        <v>45581</v>
      </c>
      <c r="E235" s="17" t="s">
        <v>48</v>
      </c>
      <c r="F235" s="17" t="n">
        <v>15</v>
      </c>
      <c r="G235" s="17" t="s">
        <v>43</v>
      </c>
      <c r="H235" s="17" t="s">
        <v>48</v>
      </c>
      <c r="I235" s="17" t="n">
        <v>30</v>
      </c>
      <c r="J235" s="17" t="s">
        <v>48</v>
      </c>
      <c r="K235" s="17" t="n">
        <v>20</v>
      </c>
      <c r="L235" s="17" t="n">
        <v>7</v>
      </c>
      <c r="M235" s="17" t="n">
        <v>58</v>
      </c>
      <c r="N235" s="34" t="n">
        <f aca="false">IF(D235="","",DATE(YEAR(D235),MONTH(D235),1))</f>
        <v>45566</v>
      </c>
      <c r="O235" s="35" t="n">
        <f aca="false">IF(A235="","",IF(ISNUMBER(I235),I235,0))</f>
        <v>30</v>
      </c>
      <c r="P235" s="35" t="n">
        <f aca="false">IF(A235="","",F235+O235+K235)</f>
        <v>65</v>
      </c>
      <c r="Q235" s="36" t="str">
        <f aca="false">IF(A235="","",IF(P235-L235=M235,"OK","Divergente"))</f>
        <v>OK</v>
      </c>
    </row>
    <row r="236" customFormat="false" ht="15" hidden="false" customHeight="false" outlineLevel="0" collapsed="false">
      <c r="A236" s="17" t="n">
        <v>3465</v>
      </c>
      <c r="B236" s="17" t="s">
        <v>315</v>
      </c>
      <c r="C236" s="17" t="s">
        <v>56</v>
      </c>
      <c r="D236" s="33" t="n">
        <v>45582</v>
      </c>
      <c r="E236" s="17" t="s">
        <v>49</v>
      </c>
      <c r="F236" s="17" t="n">
        <v>10</v>
      </c>
      <c r="G236" s="17" t="s">
        <v>42</v>
      </c>
      <c r="H236" s="17" t="s">
        <v>49</v>
      </c>
      <c r="I236" s="17" t="s">
        <v>92</v>
      </c>
      <c r="J236" s="17" t="s">
        <v>48</v>
      </c>
      <c r="K236" s="17" t="n">
        <v>20</v>
      </c>
      <c r="L236" s="17" t="n">
        <v>10</v>
      </c>
      <c r="M236" s="17" t="n">
        <v>20</v>
      </c>
      <c r="N236" s="34" t="n">
        <f aca="false">IF(D236="","",DATE(YEAR(D236),MONTH(D236),1))</f>
        <v>45566</v>
      </c>
      <c r="O236" s="35" t="n">
        <f aca="false">IF(A236="","",IF(ISNUMBER(I236),I236,0))</f>
        <v>0</v>
      </c>
      <c r="P236" s="35" t="n">
        <f aca="false">IF(A236="","",F236+O236+K236)</f>
        <v>30</v>
      </c>
      <c r="Q236" s="36" t="str">
        <f aca="false">IF(A236="","",IF(P236-L236=M236,"OK","Divergente"))</f>
        <v>OK</v>
      </c>
    </row>
    <row r="237" customFormat="false" ht="15" hidden="false" customHeight="false" outlineLevel="0" collapsed="false">
      <c r="A237" s="17" t="n">
        <v>3466</v>
      </c>
      <c r="B237" s="17" t="s">
        <v>316</v>
      </c>
      <c r="C237" s="17" t="s">
        <v>55</v>
      </c>
      <c r="D237" s="33" t="n">
        <v>45583</v>
      </c>
      <c r="E237" s="17" t="s">
        <v>48</v>
      </c>
      <c r="F237" s="17" t="n">
        <v>5</v>
      </c>
      <c r="G237" s="17" t="s">
        <v>44</v>
      </c>
      <c r="H237" s="17" t="s">
        <v>49</v>
      </c>
      <c r="I237" s="17" t="s">
        <v>92</v>
      </c>
      <c r="J237" s="17" t="s">
        <v>49</v>
      </c>
      <c r="K237" s="17" t="n">
        <v>0</v>
      </c>
      <c r="L237" s="17" t="n">
        <v>0</v>
      </c>
      <c r="M237" s="17" t="n">
        <v>5</v>
      </c>
      <c r="N237" s="34" t="n">
        <f aca="false">IF(D237="","",DATE(YEAR(D237),MONTH(D237),1))</f>
        <v>45566</v>
      </c>
      <c r="O237" s="35" t="n">
        <f aca="false">IF(A237="","",IF(ISNUMBER(I237),I237,0))</f>
        <v>0</v>
      </c>
      <c r="P237" s="35" t="n">
        <f aca="false">IF(A237="","",F237+O237+K237)</f>
        <v>5</v>
      </c>
      <c r="Q237" s="36" t="str">
        <f aca="false">IF(A237="","",IF(P237-L237=M237,"OK","Divergente"))</f>
        <v>OK</v>
      </c>
    </row>
    <row r="238" customFormat="false" ht="15" hidden="false" customHeight="false" outlineLevel="0" collapsed="false">
      <c r="A238" s="17" t="n">
        <v>3467</v>
      </c>
      <c r="B238" s="17" t="s">
        <v>317</v>
      </c>
      <c r="C238" s="17" t="s">
        <v>57</v>
      </c>
      <c r="D238" s="33" t="n">
        <v>45584</v>
      </c>
      <c r="E238" s="17" t="s">
        <v>49</v>
      </c>
      <c r="F238" s="17" t="n">
        <v>15</v>
      </c>
      <c r="G238" s="17" t="s">
        <v>42</v>
      </c>
      <c r="H238" s="17" t="s">
        <v>48</v>
      </c>
      <c r="I238" s="17" t="n">
        <v>30</v>
      </c>
      <c r="J238" s="17" t="s">
        <v>48</v>
      </c>
      <c r="K238" s="17" t="n">
        <v>20</v>
      </c>
      <c r="L238" s="17" t="n">
        <v>15</v>
      </c>
      <c r="M238" s="17" t="n">
        <v>50</v>
      </c>
      <c r="N238" s="34" t="n">
        <f aca="false">IF(D238="","",DATE(YEAR(D238),MONTH(D238),1))</f>
        <v>45566</v>
      </c>
      <c r="O238" s="35" t="n">
        <f aca="false">IF(A238="","",IF(ISNUMBER(I238),I238,0))</f>
        <v>30</v>
      </c>
      <c r="P238" s="35" t="n">
        <f aca="false">IF(A238="","",F238+O238+K238)</f>
        <v>65</v>
      </c>
      <c r="Q238" s="36" t="str">
        <f aca="false">IF(A238="","",IF(P238-L238=M238,"OK","Divergente"))</f>
        <v>OK</v>
      </c>
    </row>
    <row r="239" customFormat="false" ht="15" hidden="false" customHeight="false" outlineLevel="0" collapsed="false">
      <c r="A239" s="17" t="n">
        <v>3468</v>
      </c>
      <c r="B239" s="17" t="s">
        <v>318</v>
      </c>
      <c r="C239" s="17" t="s">
        <v>56</v>
      </c>
      <c r="D239" s="33" t="n">
        <v>45585</v>
      </c>
      <c r="E239" s="17" t="s">
        <v>48</v>
      </c>
      <c r="F239" s="17" t="n">
        <v>10</v>
      </c>
      <c r="G239" s="17" t="s">
        <v>43</v>
      </c>
      <c r="H239" s="17" t="s">
        <v>49</v>
      </c>
      <c r="I239" s="17" t="s">
        <v>92</v>
      </c>
      <c r="J239" s="17" t="s">
        <v>48</v>
      </c>
      <c r="K239" s="17" t="n">
        <v>20</v>
      </c>
      <c r="L239" s="17" t="n">
        <v>12</v>
      </c>
      <c r="M239" s="17" t="n">
        <v>18</v>
      </c>
      <c r="N239" s="34" t="n">
        <f aca="false">IF(D239="","",DATE(YEAR(D239),MONTH(D239),1))</f>
        <v>45566</v>
      </c>
      <c r="O239" s="35" t="n">
        <f aca="false">IF(A239="","",IF(ISNUMBER(I239),I239,0))</f>
        <v>0</v>
      </c>
      <c r="P239" s="35" t="n">
        <f aca="false">IF(A239="","",F239+O239+K239)</f>
        <v>30</v>
      </c>
      <c r="Q239" s="36" t="str">
        <f aca="false">IF(A239="","",IF(P239-L239=M239,"OK","Divergente"))</f>
        <v>OK</v>
      </c>
    </row>
    <row r="240" customFormat="false" ht="15" hidden="false" customHeight="false" outlineLevel="0" collapsed="false">
      <c r="A240" s="17" t="n">
        <v>3469</v>
      </c>
      <c r="B240" s="17" t="s">
        <v>319</v>
      </c>
      <c r="C240" s="17" t="s">
        <v>55</v>
      </c>
      <c r="D240" s="33" t="n">
        <v>45586</v>
      </c>
      <c r="E240" s="17" t="s">
        <v>49</v>
      </c>
      <c r="F240" s="17" t="n">
        <v>5</v>
      </c>
      <c r="G240" s="17" t="s">
        <v>42</v>
      </c>
      <c r="H240" s="17" t="s">
        <v>49</v>
      </c>
      <c r="I240" s="17" t="s">
        <v>92</v>
      </c>
      <c r="J240" s="17" t="s">
        <v>49</v>
      </c>
      <c r="K240" s="17" t="n">
        <v>0</v>
      </c>
      <c r="L240" s="17" t="n">
        <v>2</v>
      </c>
      <c r="M240" s="17" t="n">
        <v>3</v>
      </c>
      <c r="N240" s="34" t="n">
        <f aca="false">IF(D240="","",DATE(YEAR(D240),MONTH(D240),1))</f>
        <v>45566</v>
      </c>
      <c r="O240" s="35" t="n">
        <f aca="false">IF(A240="","",IF(ISNUMBER(I240),I240,0))</f>
        <v>0</v>
      </c>
      <c r="P240" s="35" t="n">
        <f aca="false">IF(A240="","",F240+O240+K240)</f>
        <v>5</v>
      </c>
      <c r="Q240" s="36" t="str">
        <f aca="false">IF(A240="","",IF(P240-L240=M240,"OK","Divergente"))</f>
        <v>OK</v>
      </c>
    </row>
    <row r="241" customFormat="false" ht="15" hidden="false" customHeight="false" outlineLevel="0" collapsed="false">
      <c r="A241" s="17" t="n">
        <v>3470</v>
      </c>
      <c r="B241" s="17" t="s">
        <v>320</v>
      </c>
      <c r="C241" s="17" t="s">
        <v>57</v>
      </c>
      <c r="D241" s="33" t="n">
        <v>45587</v>
      </c>
      <c r="E241" s="17" t="s">
        <v>48</v>
      </c>
      <c r="F241" s="17" t="n">
        <v>15</v>
      </c>
      <c r="G241" s="17" t="s">
        <v>44</v>
      </c>
      <c r="H241" s="17" t="s">
        <v>48</v>
      </c>
      <c r="I241" s="17" t="n">
        <v>30</v>
      </c>
      <c r="J241" s="17" t="s">
        <v>48</v>
      </c>
      <c r="K241" s="17" t="n">
        <v>20</v>
      </c>
      <c r="L241" s="17" t="n">
        <v>5</v>
      </c>
      <c r="M241" s="17" t="n">
        <v>60</v>
      </c>
      <c r="N241" s="34" t="n">
        <f aca="false">IF(D241="","",DATE(YEAR(D241),MONTH(D241),1))</f>
        <v>45566</v>
      </c>
      <c r="O241" s="35" t="n">
        <f aca="false">IF(A241="","",IF(ISNUMBER(I241),I241,0))</f>
        <v>30</v>
      </c>
      <c r="P241" s="35" t="n">
        <f aca="false">IF(A241="","",F241+O241+K241)</f>
        <v>65</v>
      </c>
      <c r="Q241" s="36" t="str">
        <f aca="false">IF(A241="","",IF(P241-L241=M241,"OK","Divergente"))</f>
        <v>OK</v>
      </c>
    </row>
    <row r="242" customFormat="false" ht="15" hidden="false" customHeight="false" outlineLevel="0" collapsed="false">
      <c r="A242" s="17" t="n">
        <v>3471</v>
      </c>
      <c r="B242" s="17" t="s">
        <v>321</v>
      </c>
      <c r="C242" s="17" t="s">
        <v>56</v>
      </c>
      <c r="D242" s="33" t="n">
        <v>45588</v>
      </c>
      <c r="E242" s="17" t="s">
        <v>49</v>
      </c>
      <c r="F242" s="17" t="n">
        <v>10</v>
      </c>
      <c r="G242" s="17" t="s">
        <v>42</v>
      </c>
      <c r="H242" s="17" t="s">
        <v>49</v>
      </c>
      <c r="I242" s="17" t="s">
        <v>92</v>
      </c>
      <c r="J242" s="17" t="s">
        <v>48</v>
      </c>
      <c r="K242" s="17" t="n">
        <v>20</v>
      </c>
      <c r="L242" s="17" t="n">
        <v>10</v>
      </c>
      <c r="M242" s="17" t="n">
        <v>20</v>
      </c>
      <c r="N242" s="34" t="n">
        <f aca="false">IF(D242="","",DATE(YEAR(D242),MONTH(D242),1))</f>
        <v>45566</v>
      </c>
      <c r="O242" s="35" t="n">
        <f aca="false">IF(A242="","",IF(ISNUMBER(I242),I242,0))</f>
        <v>0</v>
      </c>
      <c r="P242" s="35" t="n">
        <f aca="false">IF(A242="","",F242+O242+K242)</f>
        <v>30</v>
      </c>
      <c r="Q242" s="36" t="str">
        <f aca="false">IF(A242="","",IF(P242-L242=M242,"OK","Divergente"))</f>
        <v>OK</v>
      </c>
    </row>
    <row r="243" customFormat="false" ht="15" hidden="false" customHeight="false" outlineLevel="0" collapsed="false">
      <c r="A243" s="17" t="n">
        <v>3472</v>
      </c>
      <c r="B243" s="17" t="s">
        <v>322</v>
      </c>
      <c r="C243" s="17" t="s">
        <v>55</v>
      </c>
      <c r="D243" s="33" t="n">
        <v>45589</v>
      </c>
      <c r="E243" s="17" t="s">
        <v>48</v>
      </c>
      <c r="F243" s="17" t="n">
        <v>5</v>
      </c>
      <c r="G243" s="17" t="s">
        <v>43</v>
      </c>
      <c r="H243" s="17" t="s">
        <v>49</v>
      </c>
      <c r="I243" s="17" t="s">
        <v>92</v>
      </c>
      <c r="J243" s="17" t="s">
        <v>49</v>
      </c>
      <c r="K243" s="17" t="n">
        <v>0</v>
      </c>
      <c r="L243" s="17" t="n">
        <v>0</v>
      </c>
      <c r="M243" s="17" t="n">
        <v>5</v>
      </c>
      <c r="N243" s="34" t="n">
        <f aca="false">IF(D243="","",DATE(YEAR(D243),MONTH(D243),1))</f>
        <v>45566</v>
      </c>
      <c r="O243" s="35" t="n">
        <f aca="false">IF(A243="","",IF(ISNUMBER(I243),I243,0))</f>
        <v>0</v>
      </c>
      <c r="P243" s="35" t="n">
        <f aca="false">IF(A243="","",F243+O243+K243)</f>
        <v>5</v>
      </c>
      <c r="Q243" s="36" t="str">
        <f aca="false">IF(A243="","",IF(P243-L243=M243,"OK","Divergente"))</f>
        <v>OK</v>
      </c>
    </row>
    <row r="244" customFormat="false" ht="15" hidden="false" customHeight="false" outlineLevel="0" collapsed="false">
      <c r="A244" s="17" t="n">
        <v>3473</v>
      </c>
      <c r="B244" s="17" t="s">
        <v>231</v>
      </c>
      <c r="C244" s="17" t="s">
        <v>57</v>
      </c>
      <c r="D244" s="33" t="n">
        <v>45590</v>
      </c>
      <c r="E244" s="17" t="s">
        <v>49</v>
      </c>
      <c r="F244" s="17" t="n">
        <v>15</v>
      </c>
      <c r="G244" s="17" t="s">
        <v>42</v>
      </c>
      <c r="H244" s="17" t="s">
        <v>48</v>
      </c>
      <c r="I244" s="17" t="n">
        <v>30</v>
      </c>
      <c r="J244" s="17" t="s">
        <v>48</v>
      </c>
      <c r="K244" s="17" t="n">
        <v>20</v>
      </c>
      <c r="L244" s="17" t="n">
        <v>3</v>
      </c>
      <c r="M244" s="17" t="n">
        <v>62</v>
      </c>
      <c r="N244" s="34" t="n">
        <f aca="false">IF(D244="","",DATE(YEAR(D244),MONTH(D244),1))</f>
        <v>45566</v>
      </c>
      <c r="O244" s="35" t="n">
        <f aca="false">IF(A244="","",IF(ISNUMBER(I244),I244,0))</f>
        <v>30</v>
      </c>
      <c r="P244" s="35" t="n">
        <f aca="false">IF(A244="","",F244+O244+K244)</f>
        <v>65</v>
      </c>
      <c r="Q244" s="36" t="str">
        <f aca="false">IF(A244="","",IF(P244-L244=M244,"OK","Divergente"))</f>
        <v>OK</v>
      </c>
    </row>
    <row r="245" customFormat="false" ht="15" hidden="false" customHeight="false" outlineLevel="0" collapsed="false">
      <c r="A245" s="17" t="n">
        <v>3474</v>
      </c>
      <c r="B245" s="17" t="s">
        <v>323</v>
      </c>
      <c r="C245" s="17" t="s">
        <v>56</v>
      </c>
      <c r="D245" s="33" t="n">
        <v>45591</v>
      </c>
      <c r="E245" s="17" t="s">
        <v>48</v>
      </c>
      <c r="F245" s="17" t="n">
        <v>10</v>
      </c>
      <c r="G245" s="17" t="s">
        <v>44</v>
      </c>
      <c r="H245" s="17" t="s">
        <v>49</v>
      </c>
      <c r="I245" s="17" t="s">
        <v>92</v>
      </c>
      <c r="J245" s="17" t="s">
        <v>48</v>
      </c>
      <c r="K245" s="17" t="n">
        <v>20</v>
      </c>
      <c r="L245" s="17" t="n">
        <v>15</v>
      </c>
      <c r="M245" s="17" t="n">
        <v>15</v>
      </c>
      <c r="N245" s="34" t="n">
        <f aca="false">IF(D245="","",DATE(YEAR(D245),MONTH(D245),1))</f>
        <v>45566</v>
      </c>
      <c r="O245" s="35" t="n">
        <f aca="false">IF(A245="","",IF(ISNUMBER(I245),I245,0))</f>
        <v>0</v>
      </c>
      <c r="P245" s="35" t="n">
        <f aca="false">IF(A245="","",F245+O245+K245)</f>
        <v>30</v>
      </c>
      <c r="Q245" s="36" t="str">
        <f aca="false">IF(A245="","",IF(P245-L245=M245,"OK","Divergente"))</f>
        <v>OK</v>
      </c>
    </row>
    <row r="246" customFormat="false" ht="15" hidden="false" customHeight="false" outlineLevel="0" collapsed="false">
      <c r="A246" s="17" t="n">
        <v>3475</v>
      </c>
      <c r="B246" s="17" t="s">
        <v>324</v>
      </c>
      <c r="C246" s="17" t="s">
        <v>55</v>
      </c>
      <c r="D246" s="33" t="n">
        <v>45592</v>
      </c>
      <c r="E246" s="17" t="s">
        <v>49</v>
      </c>
      <c r="F246" s="17" t="n">
        <v>5</v>
      </c>
      <c r="G246" s="17" t="s">
        <v>42</v>
      </c>
      <c r="H246" s="17" t="s">
        <v>49</v>
      </c>
      <c r="I246" s="17" t="s">
        <v>92</v>
      </c>
      <c r="J246" s="17" t="s">
        <v>49</v>
      </c>
      <c r="K246" s="17" t="n">
        <v>0</v>
      </c>
      <c r="L246" s="17" t="n">
        <v>1</v>
      </c>
      <c r="M246" s="17" t="n">
        <v>4</v>
      </c>
      <c r="N246" s="34" t="n">
        <f aca="false">IF(D246="","",DATE(YEAR(D246),MONTH(D246),1))</f>
        <v>45566</v>
      </c>
      <c r="O246" s="35" t="n">
        <f aca="false">IF(A246="","",IF(ISNUMBER(I246),I246,0))</f>
        <v>0</v>
      </c>
      <c r="P246" s="35" t="n">
        <f aca="false">IF(A246="","",F246+O246+K246)</f>
        <v>5</v>
      </c>
      <c r="Q246" s="36" t="str">
        <f aca="false">IF(A246="","",IF(P246-L246=M246,"OK","Divergente"))</f>
        <v>OK</v>
      </c>
    </row>
    <row r="247" customFormat="false" ht="15" hidden="false" customHeight="false" outlineLevel="0" collapsed="false">
      <c r="A247" s="17" t="n">
        <v>3476</v>
      </c>
      <c r="B247" s="17" t="s">
        <v>325</v>
      </c>
      <c r="C247" s="17" t="s">
        <v>57</v>
      </c>
      <c r="D247" s="33" t="n">
        <v>45593</v>
      </c>
      <c r="E247" s="17" t="s">
        <v>48</v>
      </c>
      <c r="F247" s="17" t="n">
        <v>15</v>
      </c>
      <c r="G247" s="17" t="s">
        <v>43</v>
      </c>
      <c r="H247" s="17" t="s">
        <v>48</v>
      </c>
      <c r="I247" s="17" t="n">
        <v>30</v>
      </c>
      <c r="J247" s="17" t="s">
        <v>48</v>
      </c>
      <c r="K247" s="17" t="n">
        <v>20</v>
      </c>
      <c r="L247" s="17" t="n">
        <v>7</v>
      </c>
      <c r="M247" s="17" t="n">
        <v>58</v>
      </c>
      <c r="N247" s="34" t="n">
        <f aca="false">IF(D247="","",DATE(YEAR(D247),MONTH(D247),1))</f>
        <v>45566</v>
      </c>
      <c r="O247" s="35" t="n">
        <f aca="false">IF(A247="","",IF(ISNUMBER(I247),I247,0))</f>
        <v>30</v>
      </c>
      <c r="P247" s="35" t="n">
        <f aca="false">IF(A247="","",F247+O247+K247)</f>
        <v>65</v>
      </c>
      <c r="Q247" s="36" t="str">
        <f aca="false">IF(A247="","",IF(P247-L247=M247,"OK","Divergente"))</f>
        <v>OK</v>
      </c>
    </row>
    <row r="248" customFormat="false" ht="15" hidden="false" customHeight="false" outlineLevel="0" collapsed="false">
      <c r="A248" s="17" t="n">
        <v>3477</v>
      </c>
      <c r="B248" s="17" t="s">
        <v>326</v>
      </c>
      <c r="C248" s="17" t="s">
        <v>56</v>
      </c>
      <c r="D248" s="33" t="n">
        <v>45594</v>
      </c>
      <c r="E248" s="17" t="s">
        <v>49</v>
      </c>
      <c r="F248" s="17" t="n">
        <v>10</v>
      </c>
      <c r="G248" s="17" t="s">
        <v>42</v>
      </c>
      <c r="H248" s="17" t="s">
        <v>49</v>
      </c>
      <c r="I248" s="17" t="s">
        <v>92</v>
      </c>
      <c r="J248" s="17" t="s">
        <v>48</v>
      </c>
      <c r="K248" s="17" t="n">
        <v>20</v>
      </c>
      <c r="L248" s="17" t="n">
        <v>10</v>
      </c>
      <c r="M248" s="17" t="n">
        <v>20</v>
      </c>
      <c r="N248" s="34" t="n">
        <f aca="false">IF(D248="","",DATE(YEAR(D248),MONTH(D248),1))</f>
        <v>45566</v>
      </c>
      <c r="O248" s="35" t="n">
        <f aca="false">IF(A248="","",IF(ISNUMBER(I248),I248,0))</f>
        <v>0</v>
      </c>
      <c r="P248" s="35" t="n">
        <f aca="false">IF(A248="","",F248+O248+K248)</f>
        <v>30</v>
      </c>
      <c r="Q248" s="36" t="str">
        <f aca="false">IF(A248="","",IF(P248-L248=M248,"OK","Divergente"))</f>
        <v>OK</v>
      </c>
    </row>
    <row r="249" customFormat="false" ht="15" hidden="false" customHeight="false" outlineLevel="0" collapsed="false">
      <c r="A249" s="17" t="n">
        <v>3478</v>
      </c>
      <c r="B249" s="17" t="s">
        <v>327</v>
      </c>
      <c r="C249" s="17" t="s">
        <v>55</v>
      </c>
      <c r="D249" s="33" t="n">
        <v>45595</v>
      </c>
      <c r="E249" s="17" t="s">
        <v>48</v>
      </c>
      <c r="F249" s="17" t="n">
        <v>5</v>
      </c>
      <c r="G249" s="17" t="s">
        <v>44</v>
      </c>
      <c r="H249" s="17" t="s">
        <v>49</v>
      </c>
      <c r="I249" s="17" t="s">
        <v>92</v>
      </c>
      <c r="J249" s="17" t="s">
        <v>49</v>
      </c>
      <c r="K249" s="17" t="n">
        <v>0</v>
      </c>
      <c r="L249" s="17" t="n">
        <v>0</v>
      </c>
      <c r="M249" s="17" t="n">
        <v>5</v>
      </c>
      <c r="N249" s="34" t="n">
        <f aca="false">IF(D249="","",DATE(YEAR(D249),MONTH(D249),1))</f>
        <v>45566</v>
      </c>
      <c r="O249" s="35" t="n">
        <f aca="false">IF(A249="","",IF(ISNUMBER(I249),I249,0))</f>
        <v>0</v>
      </c>
      <c r="P249" s="35" t="n">
        <f aca="false">IF(A249="","",F249+O249+K249)</f>
        <v>5</v>
      </c>
      <c r="Q249" s="36" t="str">
        <f aca="false">IF(A249="","",IF(P249-L249=M249,"OK","Divergente"))</f>
        <v>OK</v>
      </c>
    </row>
    <row r="250" customFormat="false" ht="15" hidden="false" customHeight="false" outlineLevel="0" collapsed="false">
      <c r="A250" s="17" t="n">
        <v>3479</v>
      </c>
      <c r="B250" s="17" t="s">
        <v>328</v>
      </c>
      <c r="C250" s="17" t="s">
        <v>57</v>
      </c>
      <c r="D250" s="33" t="n">
        <v>45596</v>
      </c>
      <c r="E250" s="17" t="s">
        <v>49</v>
      </c>
      <c r="F250" s="17" t="n">
        <v>15</v>
      </c>
      <c r="G250" s="17" t="s">
        <v>42</v>
      </c>
      <c r="H250" s="17" t="s">
        <v>48</v>
      </c>
      <c r="I250" s="17" t="n">
        <v>30</v>
      </c>
      <c r="J250" s="17" t="s">
        <v>48</v>
      </c>
      <c r="K250" s="17" t="n">
        <v>20</v>
      </c>
      <c r="L250" s="17" t="n">
        <v>20</v>
      </c>
      <c r="M250" s="17" t="n">
        <v>45</v>
      </c>
      <c r="N250" s="34" t="n">
        <f aca="false">IF(D250="","",DATE(YEAR(D250),MONTH(D250),1))</f>
        <v>45566</v>
      </c>
      <c r="O250" s="35" t="n">
        <f aca="false">IF(A250="","",IF(ISNUMBER(I250),I250,0))</f>
        <v>30</v>
      </c>
      <c r="P250" s="35" t="n">
        <f aca="false">IF(A250="","",F250+O250+K250)</f>
        <v>65</v>
      </c>
      <c r="Q250" s="36" t="str">
        <f aca="false">IF(A250="","",IF(P250-L250=M250,"OK","Divergente"))</f>
        <v>OK</v>
      </c>
    </row>
    <row r="251" customFormat="false" ht="15" hidden="false" customHeight="false" outlineLevel="0" collapsed="false">
      <c r="A251" s="17" t="n">
        <v>3480</v>
      </c>
      <c r="B251" s="17" t="s">
        <v>329</v>
      </c>
      <c r="C251" s="17" t="s">
        <v>56</v>
      </c>
      <c r="D251" s="33" t="n">
        <v>45597</v>
      </c>
      <c r="E251" s="17" t="s">
        <v>48</v>
      </c>
      <c r="F251" s="17" t="n">
        <v>10</v>
      </c>
      <c r="G251" s="17" t="s">
        <v>43</v>
      </c>
      <c r="H251" s="17" t="s">
        <v>49</v>
      </c>
      <c r="I251" s="17" t="s">
        <v>92</v>
      </c>
      <c r="J251" s="17" t="s">
        <v>48</v>
      </c>
      <c r="K251" s="17" t="n">
        <v>20</v>
      </c>
      <c r="L251" s="17" t="n">
        <v>15</v>
      </c>
      <c r="M251" s="17" t="n">
        <v>15</v>
      </c>
      <c r="N251" s="34" t="n">
        <f aca="false">IF(D251="","",DATE(YEAR(D251),MONTH(D251),1))</f>
        <v>45597</v>
      </c>
      <c r="O251" s="35" t="n">
        <f aca="false">IF(A251="","",IF(ISNUMBER(I251),I251,0))</f>
        <v>0</v>
      </c>
      <c r="P251" s="35" t="n">
        <f aca="false">IF(A251="","",F251+O251+K251)</f>
        <v>30</v>
      </c>
      <c r="Q251" s="36" t="str">
        <f aca="false">IF(A251="","",IF(P251-L251=M251,"OK","Divergente"))</f>
        <v>OK</v>
      </c>
    </row>
    <row r="252" customFormat="false" ht="15" hidden="false" customHeight="false" outlineLevel="0" collapsed="false">
      <c r="A252" s="17" t="n">
        <v>3481</v>
      </c>
      <c r="B252" s="17" t="s">
        <v>330</v>
      </c>
      <c r="C252" s="17" t="s">
        <v>55</v>
      </c>
      <c r="D252" s="33" t="n">
        <v>45598</v>
      </c>
      <c r="E252" s="17" t="s">
        <v>49</v>
      </c>
      <c r="F252" s="17" t="n">
        <v>5</v>
      </c>
      <c r="G252" s="17" t="s">
        <v>42</v>
      </c>
      <c r="H252" s="17" t="s">
        <v>49</v>
      </c>
      <c r="I252" s="17" t="s">
        <v>92</v>
      </c>
      <c r="J252" s="17" t="s">
        <v>49</v>
      </c>
      <c r="K252" s="17" t="n">
        <v>0</v>
      </c>
      <c r="L252" s="17" t="n">
        <v>1</v>
      </c>
      <c r="M252" s="17" t="n">
        <v>4</v>
      </c>
      <c r="N252" s="34" t="n">
        <f aca="false">IF(D252="","",DATE(YEAR(D252),MONTH(D252),1))</f>
        <v>45597</v>
      </c>
      <c r="O252" s="35" t="n">
        <f aca="false">IF(A252="","",IF(ISNUMBER(I252),I252,0))</f>
        <v>0</v>
      </c>
      <c r="P252" s="35" t="n">
        <f aca="false">IF(A252="","",F252+O252+K252)</f>
        <v>5</v>
      </c>
      <c r="Q252" s="36" t="str">
        <f aca="false">IF(A252="","",IF(P252-L252=M252,"OK","Divergente"))</f>
        <v>OK</v>
      </c>
    </row>
    <row r="253" customFormat="false" ht="15" hidden="false" customHeight="false" outlineLevel="0" collapsed="false">
      <c r="A253" s="17" t="n">
        <v>3482</v>
      </c>
      <c r="B253" s="17" t="s">
        <v>331</v>
      </c>
      <c r="C253" s="17" t="s">
        <v>57</v>
      </c>
      <c r="D253" s="33" t="n">
        <v>45599</v>
      </c>
      <c r="E253" s="17" t="s">
        <v>48</v>
      </c>
      <c r="F253" s="17" t="n">
        <v>15</v>
      </c>
      <c r="G253" s="17" t="s">
        <v>44</v>
      </c>
      <c r="H253" s="17" t="s">
        <v>48</v>
      </c>
      <c r="I253" s="17" t="n">
        <v>30</v>
      </c>
      <c r="J253" s="17" t="s">
        <v>48</v>
      </c>
      <c r="K253" s="17" t="n">
        <v>20</v>
      </c>
      <c r="L253" s="17" t="n">
        <v>3</v>
      </c>
      <c r="M253" s="17" t="n">
        <v>62</v>
      </c>
      <c r="N253" s="34" t="n">
        <f aca="false">IF(D253="","",DATE(YEAR(D253),MONTH(D253),1))</f>
        <v>45597</v>
      </c>
      <c r="O253" s="35" t="n">
        <f aca="false">IF(A253="","",IF(ISNUMBER(I253),I253,0))</f>
        <v>30</v>
      </c>
      <c r="P253" s="35" t="n">
        <f aca="false">IF(A253="","",F253+O253+K253)</f>
        <v>65</v>
      </c>
      <c r="Q253" s="36" t="str">
        <f aca="false">IF(A253="","",IF(P253-L253=M253,"OK","Divergente"))</f>
        <v>OK</v>
      </c>
    </row>
    <row r="254" customFormat="false" ht="15" hidden="false" customHeight="false" outlineLevel="0" collapsed="false">
      <c r="A254" s="17" t="n">
        <v>3483</v>
      </c>
      <c r="B254" s="17" t="s">
        <v>332</v>
      </c>
      <c r="C254" s="17" t="s">
        <v>56</v>
      </c>
      <c r="D254" s="33" t="n">
        <v>45600</v>
      </c>
      <c r="E254" s="17" t="s">
        <v>49</v>
      </c>
      <c r="F254" s="17" t="n">
        <v>10</v>
      </c>
      <c r="G254" s="17" t="s">
        <v>42</v>
      </c>
      <c r="H254" s="17" t="s">
        <v>49</v>
      </c>
      <c r="I254" s="17" t="s">
        <v>92</v>
      </c>
      <c r="J254" s="17" t="s">
        <v>48</v>
      </c>
      <c r="K254" s="17" t="n">
        <v>20</v>
      </c>
      <c r="L254" s="17" t="n">
        <v>10</v>
      </c>
      <c r="M254" s="17" t="n">
        <v>20</v>
      </c>
      <c r="N254" s="34" t="n">
        <f aca="false">IF(D254="","",DATE(YEAR(D254),MONTH(D254),1))</f>
        <v>45597</v>
      </c>
      <c r="O254" s="35" t="n">
        <f aca="false">IF(A254="","",IF(ISNUMBER(I254),I254,0))</f>
        <v>0</v>
      </c>
      <c r="P254" s="35" t="n">
        <f aca="false">IF(A254="","",F254+O254+K254)</f>
        <v>30</v>
      </c>
      <c r="Q254" s="36" t="str">
        <f aca="false">IF(A254="","",IF(P254-L254=M254,"OK","Divergente"))</f>
        <v>OK</v>
      </c>
    </row>
    <row r="255" customFormat="false" ht="15" hidden="false" customHeight="false" outlineLevel="0" collapsed="false">
      <c r="A255" s="17" t="n">
        <v>3484</v>
      </c>
      <c r="B255" s="17" t="s">
        <v>333</v>
      </c>
      <c r="C255" s="17" t="s">
        <v>55</v>
      </c>
      <c r="D255" s="33" t="n">
        <v>45601</v>
      </c>
      <c r="E255" s="17" t="s">
        <v>48</v>
      </c>
      <c r="F255" s="17" t="n">
        <v>5</v>
      </c>
      <c r="G255" s="17" t="s">
        <v>43</v>
      </c>
      <c r="H255" s="17" t="s">
        <v>49</v>
      </c>
      <c r="I255" s="17" t="s">
        <v>92</v>
      </c>
      <c r="J255" s="17" t="s">
        <v>49</v>
      </c>
      <c r="K255" s="17" t="n">
        <v>0</v>
      </c>
      <c r="L255" s="17" t="n">
        <v>0</v>
      </c>
      <c r="M255" s="17" t="n">
        <v>5</v>
      </c>
      <c r="N255" s="34" t="n">
        <f aca="false">IF(D255="","",DATE(YEAR(D255),MONTH(D255),1))</f>
        <v>45597</v>
      </c>
      <c r="O255" s="35" t="n">
        <f aca="false">IF(A255="","",IF(ISNUMBER(I255),I255,0))</f>
        <v>0</v>
      </c>
      <c r="P255" s="35" t="n">
        <f aca="false">IF(A255="","",F255+O255+K255)</f>
        <v>5</v>
      </c>
      <c r="Q255" s="36" t="str">
        <f aca="false">IF(A255="","",IF(P255-L255=M255,"OK","Divergente"))</f>
        <v>OK</v>
      </c>
    </row>
    <row r="256" customFormat="false" ht="15" hidden="false" customHeight="false" outlineLevel="0" collapsed="false">
      <c r="A256" s="17" t="n">
        <v>3485</v>
      </c>
      <c r="B256" s="17" t="s">
        <v>334</v>
      </c>
      <c r="C256" s="17" t="s">
        <v>57</v>
      </c>
      <c r="D256" s="33" t="n">
        <v>45602</v>
      </c>
      <c r="E256" s="17" t="s">
        <v>49</v>
      </c>
      <c r="F256" s="17" t="n">
        <v>15</v>
      </c>
      <c r="G256" s="17" t="s">
        <v>42</v>
      </c>
      <c r="H256" s="17" t="s">
        <v>48</v>
      </c>
      <c r="I256" s="17" t="n">
        <v>30</v>
      </c>
      <c r="J256" s="17" t="s">
        <v>48</v>
      </c>
      <c r="K256" s="17" t="n">
        <v>20</v>
      </c>
      <c r="L256" s="17" t="n">
        <v>15</v>
      </c>
      <c r="M256" s="17" t="n">
        <v>50</v>
      </c>
      <c r="N256" s="34" t="n">
        <f aca="false">IF(D256="","",DATE(YEAR(D256),MONTH(D256),1))</f>
        <v>45597</v>
      </c>
      <c r="O256" s="35" t="n">
        <f aca="false">IF(A256="","",IF(ISNUMBER(I256),I256,0))</f>
        <v>30</v>
      </c>
      <c r="P256" s="35" t="n">
        <f aca="false">IF(A256="","",F256+O256+K256)</f>
        <v>65</v>
      </c>
      <c r="Q256" s="36" t="str">
        <f aca="false">IF(A256="","",IF(P256-L256=M256,"OK","Divergente"))</f>
        <v>OK</v>
      </c>
    </row>
    <row r="257" customFormat="false" ht="15" hidden="false" customHeight="false" outlineLevel="0" collapsed="false">
      <c r="A257" s="17" t="n">
        <v>3486</v>
      </c>
      <c r="B257" s="17" t="s">
        <v>335</v>
      </c>
      <c r="C257" s="17" t="s">
        <v>55</v>
      </c>
      <c r="D257" s="33" t="n">
        <v>45603</v>
      </c>
      <c r="E257" s="17" t="s">
        <v>48</v>
      </c>
      <c r="F257" s="17" t="n">
        <v>5</v>
      </c>
      <c r="G257" s="17" t="s">
        <v>42</v>
      </c>
      <c r="H257" s="17" t="s">
        <v>49</v>
      </c>
      <c r="I257" s="17" t="s">
        <v>92</v>
      </c>
      <c r="J257" s="17" t="s">
        <v>49</v>
      </c>
      <c r="K257" s="17" t="n">
        <v>0</v>
      </c>
      <c r="L257" s="17" t="n">
        <v>0</v>
      </c>
      <c r="M257" s="17" t="n">
        <v>5</v>
      </c>
      <c r="N257" s="34" t="n">
        <f aca="false">IF(D257="","",DATE(YEAR(D257),MONTH(D257),1))</f>
        <v>45597</v>
      </c>
      <c r="O257" s="35" t="n">
        <f aca="false">IF(A257="","",IF(ISNUMBER(I257),I257,0))</f>
        <v>0</v>
      </c>
      <c r="P257" s="35" t="n">
        <f aca="false">IF(A257="","",F257+O257+K257)</f>
        <v>5</v>
      </c>
      <c r="Q257" s="36" t="str">
        <f aca="false">IF(A257="","",IF(P257-L257=M257,"OK","Divergente"))</f>
        <v>OK</v>
      </c>
    </row>
    <row r="258" customFormat="false" ht="15" hidden="false" customHeight="false" outlineLevel="0" collapsed="false">
      <c r="A258" s="17" t="n">
        <v>3487</v>
      </c>
      <c r="B258" s="17" t="s">
        <v>336</v>
      </c>
      <c r="C258" s="17" t="s">
        <v>57</v>
      </c>
      <c r="D258" s="33" t="n">
        <v>45604</v>
      </c>
      <c r="E258" s="17" t="s">
        <v>49</v>
      </c>
      <c r="F258" s="17" t="n">
        <v>15</v>
      </c>
      <c r="G258" s="17" t="s">
        <v>43</v>
      </c>
      <c r="H258" s="17" t="s">
        <v>48</v>
      </c>
      <c r="I258" s="17" t="n">
        <v>30</v>
      </c>
      <c r="J258" s="17" t="s">
        <v>48</v>
      </c>
      <c r="K258" s="17" t="n">
        <v>20</v>
      </c>
      <c r="L258" s="17" t="n">
        <v>7</v>
      </c>
      <c r="M258" s="17" t="n">
        <v>58</v>
      </c>
      <c r="N258" s="34" t="n">
        <f aca="false">IF(D258="","",DATE(YEAR(D258),MONTH(D258),1))</f>
        <v>45597</v>
      </c>
      <c r="O258" s="35" t="n">
        <f aca="false">IF(A258="","",IF(ISNUMBER(I258),I258,0))</f>
        <v>30</v>
      </c>
      <c r="P258" s="35" t="n">
        <f aca="false">IF(A258="","",F258+O258+K258)</f>
        <v>65</v>
      </c>
      <c r="Q258" s="36" t="str">
        <f aca="false">IF(A258="","",IF(P258-L258=M258,"OK","Divergente"))</f>
        <v>OK</v>
      </c>
    </row>
    <row r="259" customFormat="false" ht="15" hidden="false" customHeight="false" outlineLevel="0" collapsed="false">
      <c r="A259" s="17" t="n">
        <v>3488</v>
      </c>
      <c r="B259" s="17" t="s">
        <v>337</v>
      </c>
      <c r="C259" s="17" t="s">
        <v>56</v>
      </c>
      <c r="D259" s="33" t="n">
        <v>45605</v>
      </c>
      <c r="E259" s="17" t="s">
        <v>48</v>
      </c>
      <c r="F259" s="17" t="n">
        <v>10</v>
      </c>
      <c r="G259" s="17" t="s">
        <v>44</v>
      </c>
      <c r="H259" s="17" t="s">
        <v>49</v>
      </c>
      <c r="I259" s="17" t="s">
        <v>92</v>
      </c>
      <c r="J259" s="17" t="s">
        <v>48</v>
      </c>
      <c r="K259" s="17" t="n">
        <v>20</v>
      </c>
      <c r="L259" s="17" t="n">
        <v>10</v>
      </c>
      <c r="M259" s="17" t="n">
        <v>20</v>
      </c>
      <c r="N259" s="34" t="n">
        <f aca="false">IF(D259="","",DATE(YEAR(D259),MONTH(D259),1))</f>
        <v>45597</v>
      </c>
      <c r="O259" s="35" t="n">
        <f aca="false">IF(A259="","",IF(ISNUMBER(I259),I259,0))</f>
        <v>0</v>
      </c>
      <c r="P259" s="35" t="n">
        <f aca="false">IF(A259="","",F259+O259+K259)</f>
        <v>30</v>
      </c>
      <c r="Q259" s="36" t="str">
        <f aca="false">IF(A259="","",IF(P259-L259=M259,"OK","Divergente"))</f>
        <v>OK</v>
      </c>
    </row>
    <row r="260" customFormat="false" ht="15" hidden="false" customHeight="false" outlineLevel="0" collapsed="false">
      <c r="A260" s="17" t="n">
        <v>3489</v>
      </c>
      <c r="B260" s="17" t="s">
        <v>338</v>
      </c>
      <c r="C260" s="17" t="s">
        <v>55</v>
      </c>
      <c r="D260" s="33" t="n">
        <v>45606</v>
      </c>
      <c r="E260" s="17" t="s">
        <v>49</v>
      </c>
      <c r="F260" s="17" t="n">
        <v>5</v>
      </c>
      <c r="G260" s="17" t="s">
        <v>43</v>
      </c>
      <c r="H260" s="17" t="s">
        <v>49</v>
      </c>
      <c r="I260" s="17" t="s">
        <v>92</v>
      </c>
      <c r="J260" s="17" t="s">
        <v>49</v>
      </c>
      <c r="K260" s="17" t="n">
        <v>0</v>
      </c>
      <c r="L260" s="17" t="n">
        <v>1</v>
      </c>
      <c r="M260" s="17" t="n">
        <v>4</v>
      </c>
      <c r="N260" s="34" t="n">
        <f aca="false">IF(D260="","",DATE(YEAR(D260),MONTH(D260),1))</f>
        <v>45597</v>
      </c>
      <c r="O260" s="35" t="n">
        <f aca="false">IF(A260="","",IF(ISNUMBER(I260),I260,0))</f>
        <v>0</v>
      </c>
      <c r="P260" s="35" t="n">
        <f aca="false">IF(A260="","",F260+O260+K260)</f>
        <v>5</v>
      </c>
      <c r="Q260" s="36" t="str">
        <f aca="false">IF(A260="","",IF(P260-L260=M260,"OK","Divergente"))</f>
        <v>OK</v>
      </c>
    </row>
    <row r="261" customFormat="false" ht="15" hidden="false" customHeight="false" outlineLevel="0" collapsed="false">
      <c r="A261" s="17" t="n">
        <v>3490</v>
      </c>
      <c r="B261" s="17" t="s">
        <v>339</v>
      </c>
      <c r="C261" s="17" t="s">
        <v>57</v>
      </c>
      <c r="D261" s="33" t="n">
        <v>45607</v>
      </c>
      <c r="E261" s="17" t="s">
        <v>48</v>
      </c>
      <c r="F261" s="17" t="n">
        <v>15</v>
      </c>
      <c r="G261" s="17" t="s">
        <v>42</v>
      </c>
      <c r="H261" s="17" t="s">
        <v>48</v>
      </c>
      <c r="I261" s="17" t="n">
        <v>30</v>
      </c>
      <c r="J261" s="17" t="s">
        <v>48</v>
      </c>
      <c r="K261" s="17" t="n">
        <v>20</v>
      </c>
      <c r="L261" s="17" t="n">
        <v>15</v>
      </c>
      <c r="M261" s="17" t="n">
        <v>50</v>
      </c>
      <c r="N261" s="34" t="n">
        <f aca="false">IF(D261="","",DATE(YEAR(D261),MONTH(D261),1))</f>
        <v>45597</v>
      </c>
      <c r="O261" s="35" t="n">
        <f aca="false">IF(A261="","",IF(ISNUMBER(I261),I261,0))</f>
        <v>30</v>
      </c>
      <c r="P261" s="35" t="n">
        <f aca="false">IF(A261="","",F261+O261+K261)</f>
        <v>65</v>
      </c>
      <c r="Q261" s="36" t="str">
        <f aca="false">IF(A261="","",IF(P261-L261=M261,"OK","Divergente"))</f>
        <v>OK</v>
      </c>
    </row>
    <row r="262" customFormat="false" ht="15" hidden="false" customHeight="false" outlineLevel="0" collapsed="false">
      <c r="A262" s="17" t="n">
        <v>3491</v>
      </c>
      <c r="B262" s="17" t="s">
        <v>340</v>
      </c>
      <c r="C262" s="17" t="s">
        <v>56</v>
      </c>
      <c r="D262" s="33" t="n">
        <v>45608</v>
      </c>
      <c r="E262" s="17" t="s">
        <v>49</v>
      </c>
      <c r="F262" s="17" t="n">
        <v>10</v>
      </c>
      <c r="G262" s="17" t="s">
        <v>42</v>
      </c>
      <c r="H262" s="17" t="s">
        <v>49</v>
      </c>
      <c r="I262" s="17" t="s">
        <v>92</v>
      </c>
      <c r="J262" s="17" t="s">
        <v>48</v>
      </c>
      <c r="K262" s="17" t="n">
        <v>20</v>
      </c>
      <c r="L262" s="17" t="n">
        <v>5</v>
      </c>
      <c r="M262" s="17" t="n">
        <v>25</v>
      </c>
      <c r="N262" s="34" t="n">
        <f aca="false">IF(D262="","",DATE(YEAR(D262),MONTH(D262),1))</f>
        <v>45597</v>
      </c>
      <c r="O262" s="35" t="n">
        <f aca="false">IF(A262="","",IF(ISNUMBER(I262),I262,0))</f>
        <v>0</v>
      </c>
      <c r="P262" s="35" t="n">
        <f aca="false">IF(A262="","",F262+O262+K262)</f>
        <v>30</v>
      </c>
      <c r="Q262" s="36" t="str">
        <f aca="false">IF(A262="","",IF(P262-L262=M262,"OK","Divergente"))</f>
        <v>OK</v>
      </c>
    </row>
    <row r="263" customFormat="false" ht="15" hidden="false" customHeight="false" outlineLevel="0" collapsed="false">
      <c r="A263" s="17" t="n">
        <v>3492</v>
      </c>
      <c r="B263" s="17" t="s">
        <v>341</v>
      </c>
      <c r="C263" s="17" t="s">
        <v>55</v>
      </c>
      <c r="D263" s="33" t="n">
        <v>45609</v>
      </c>
      <c r="E263" s="17" t="s">
        <v>48</v>
      </c>
      <c r="F263" s="17" t="n">
        <v>5</v>
      </c>
      <c r="G263" s="17" t="s">
        <v>44</v>
      </c>
      <c r="H263" s="17" t="s">
        <v>49</v>
      </c>
      <c r="I263" s="17" t="s">
        <v>92</v>
      </c>
      <c r="J263" s="17" t="s">
        <v>49</v>
      </c>
      <c r="K263" s="17" t="n">
        <v>0</v>
      </c>
      <c r="L263" s="17" t="n">
        <v>0</v>
      </c>
      <c r="M263" s="17" t="n">
        <v>5</v>
      </c>
      <c r="N263" s="34" t="n">
        <f aca="false">IF(D263="","",DATE(YEAR(D263),MONTH(D263),1))</f>
        <v>45597</v>
      </c>
      <c r="O263" s="35" t="n">
        <f aca="false">IF(A263="","",IF(ISNUMBER(I263),I263,0))</f>
        <v>0</v>
      </c>
      <c r="P263" s="35" t="n">
        <f aca="false">IF(A263="","",F263+O263+K263)</f>
        <v>5</v>
      </c>
      <c r="Q263" s="36" t="str">
        <f aca="false">IF(A263="","",IF(P263-L263=M263,"OK","Divergente"))</f>
        <v>OK</v>
      </c>
    </row>
    <row r="264" customFormat="false" ht="15" hidden="false" customHeight="false" outlineLevel="0" collapsed="false">
      <c r="A264" s="17" t="n">
        <v>3493</v>
      </c>
      <c r="B264" s="17" t="s">
        <v>342</v>
      </c>
      <c r="C264" s="17" t="s">
        <v>57</v>
      </c>
      <c r="D264" s="33" t="n">
        <v>45610</v>
      </c>
      <c r="E264" s="17" t="s">
        <v>49</v>
      </c>
      <c r="F264" s="17" t="n">
        <v>15</v>
      </c>
      <c r="G264" s="17" t="s">
        <v>43</v>
      </c>
      <c r="H264" s="17" t="s">
        <v>48</v>
      </c>
      <c r="I264" s="17" t="n">
        <v>30</v>
      </c>
      <c r="J264" s="17" t="s">
        <v>48</v>
      </c>
      <c r="K264" s="17" t="n">
        <v>20</v>
      </c>
      <c r="L264" s="17" t="n">
        <v>20</v>
      </c>
      <c r="M264" s="17" t="n">
        <v>45</v>
      </c>
      <c r="N264" s="34" t="n">
        <f aca="false">IF(D264="","",DATE(YEAR(D264),MONTH(D264),1))</f>
        <v>45597</v>
      </c>
      <c r="O264" s="35" t="n">
        <f aca="false">IF(A264="","",IF(ISNUMBER(I264),I264,0))</f>
        <v>30</v>
      </c>
      <c r="P264" s="35" t="n">
        <f aca="false">IF(A264="","",F264+O264+K264)</f>
        <v>65</v>
      </c>
      <c r="Q264" s="36" t="str">
        <f aca="false">IF(A264="","",IF(P264-L264=M264,"OK","Divergente"))</f>
        <v>OK</v>
      </c>
    </row>
    <row r="265" customFormat="false" ht="15" hidden="false" customHeight="false" outlineLevel="0" collapsed="false">
      <c r="A265" s="17" t="n">
        <v>3494</v>
      </c>
      <c r="B265" s="17" t="s">
        <v>343</v>
      </c>
      <c r="C265" s="17" t="s">
        <v>56</v>
      </c>
      <c r="D265" s="33" t="n">
        <v>45611</v>
      </c>
      <c r="E265" s="17" t="s">
        <v>48</v>
      </c>
      <c r="F265" s="17" t="n">
        <v>10</v>
      </c>
      <c r="G265" s="17" t="s">
        <v>43</v>
      </c>
      <c r="H265" s="17" t="s">
        <v>49</v>
      </c>
      <c r="I265" s="17" t="s">
        <v>92</v>
      </c>
      <c r="J265" s="17" t="s">
        <v>48</v>
      </c>
      <c r="K265" s="17" t="n">
        <v>20</v>
      </c>
      <c r="L265" s="17" t="n">
        <v>12</v>
      </c>
      <c r="M265" s="17" t="n">
        <v>18</v>
      </c>
      <c r="N265" s="34" t="n">
        <f aca="false">IF(D265="","",DATE(YEAR(D265),MONTH(D265),1))</f>
        <v>45597</v>
      </c>
      <c r="O265" s="35" t="n">
        <f aca="false">IF(A265="","",IF(ISNUMBER(I265),I265,0))</f>
        <v>0</v>
      </c>
      <c r="P265" s="35" t="n">
        <f aca="false">IF(A265="","",F265+O265+K265)</f>
        <v>30</v>
      </c>
      <c r="Q265" s="36" t="str">
        <f aca="false">IF(A265="","",IF(P265-L265=M265,"OK","Divergente"))</f>
        <v>OK</v>
      </c>
    </row>
    <row r="266" customFormat="false" ht="15" hidden="false" customHeight="false" outlineLevel="0" collapsed="false">
      <c r="A266" s="17" t="n">
        <v>3495</v>
      </c>
      <c r="B266" s="17" t="s">
        <v>344</v>
      </c>
      <c r="C266" s="17" t="s">
        <v>55</v>
      </c>
      <c r="D266" s="33" t="n">
        <v>45612</v>
      </c>
      <c r="E266" s="17" t="s">
        <v>49</v>
      </c>
      <c r="F266" s="17" t="n">
        <v>5</v>
      </c>
      <c r="G266" s="17" t="s">
        <v>42</v>
      </c>
      <c r="H266" s="17" t="s">
        <v>49</v>
      </c>
      <c r="I266" s="17" t="s">
        <v>92</v>
      </c>
      <c r="J266" s="17" t="s">
        <v>49</v>
      </c>
      <c r="K266" s="17" t="n">
        <v>0</v>
      </c>
      <c r="L266" s="17" t="n">
        <v>2</v>
      </c>
      <c r="M266" s="17" t="n">
        <v>3</v>
      </c>
      <c r="N266" s="34" t="n">
        <f aca="false">IF(D266="","",DATE(YEAR(D266),MONTH(D266),1))</f>
        <v>45597</v>
      </c>
      <c r="O266" s="35" t="n">
        <f aca="false">IF(A266="","",IF(ISNUMBER(I266),I266,0))</f>
        <v>0</v>
      </c>
      <c r="P266" s="35" t="n">
        <f aca="false">IF(A266="","",F266+O266+K266)</f>
        <v>5</v>
      </c>
      <c r="Q266" s="36" t="str">
        <f aca="false">IF(A266="","",IF(P266-L266=M266,"OK","Divergente"))</f>
        <v>OK</v>
      </c>
    </row>
    <row r="267" customFormat="false" ht="15" hidden="false" customHeight="false" outlineLevel="0" collapsed="false">
      <c r="A267" s="17" t="n">
        <v>3496</v>
      </c>
      <c r="B267" s="17" t="s">
        <v>345</v>
      </c>
      <c r="C267" s="17" t="s">
        <v>57</v>
      </c>
      <c r="D267" s="33" t="n">
        <v>45613</v>
      </c>
      <c r="E267" s="17" t="s">
        <v>48</v>
      </c>
      <c r="F267" s="17" t="n">
        <v>15</v>
      </c>
      <c r="G267" s="17" t="s">
        <v>44</v>
      </c>
      <c r="H267" s="17" t="s">
        <v>48</v>
      </c>
      <c r="I267" s="17" t="n">
        <v>30</v>
      </c>
      <c r="J267" s="17" t="s">
        <v>48</v>
      </c>
      <c r="K267" s="17" t="n">
        <v>20</v>
      </c>
      <c r="L267" s="17" t="n">
        <v>5</v>
      </c>
      <c r="M267" s="17" t="n">
        <v>60</v>
      </c>
      <c r="N267" s="34" t="n">
        <f aca="false">IF(D267="","",DATE(YEAR(D267),MONTH(D267),1))</f>
        <v>45597</v>
      </c>
      <c r="O267" s="35" t="n">
        <f aca="false">IF(A267="","",IF(ISNUMBER(I267),I267,0))</f>
        <v>30</v>
      </c>
      <c r="P267" s="35" t="n">
        <f aca="false">IF(A267="","",F267+O267+K267)</f>
        <v>65</v>
      </c>
      <c r="Q267" s="36" t="str">
        <f aca="false">IF(A267="","",IF(P267-L267=M267,"OK","Divergente"))</f>
        <v>OK</v>
      </c>
    </row>
    <row r="268" customFormat="false" ht="15" hidden="false" customHeight="false" outlineLevel="0" collapsed="false">
      <c r="A268" s="17" t="n">
        <v>3497</v>
      </c>
      <c r="B268" s="17" t="s">
        <v>346</v>
      </c>
      <c r="C268" s="17" t="s">
        <v>56</v>
      </c>
      <c r="D268" s="33" t="n">
        <v>45614</v>
      </c>
      <c r="E268" s="17" t="s">
        <v>49</v>
      </c>
      <c r="F268" s="17" t="n">
        <v>10</v>
      </c>
      <c r="G268" s="17" t="s">
        <v>42</v>
      </c>
      <c r="H268" s="17" t="s">
        <v>49</v>
      </c>
      <c r="I268" s="17" t="s">
        <v>92</v>
      </c>
      <c r="J268" s="17" t="s">
        <v>48</v>
      </c>
      <c r="K268" s="17" t="n">
        <v>20</v>
      </c>
      <c r="L268" s="17" t="n">
        <v>10</v>
      </c>
      <c r="M268" s="17" t="n">
        <v>20</v>
      </c>
      <c r="N268" s="34" t="n">
        <f aca="false">IF(D268="","",DATE(YEAR(D268),MONTH(D268),1))</f>
        <v>45597</v>
      </c>
      <c r="O268" s="35" t="n">
        <f aca="false">IF(A268="","",IF(ISNUMBER(I268),I268,0))</f>
        <v>0</v>
      </c>
      <c r="P268" s="35" t="n">
        <f aca="false">IF(A268="","",F268+O268+K268)</f>
        <v>30</v>
      </c>
      <c r="Q268" s="36" t="str">
        <f aca="false">IF(A268="","",IF(P268-L268=M268,"OK","Divergente"))</f>
        <v>OK</v>
      </c>
    </row>
    <row r="269" customFormat="false" ht="15" hidden="false" customHeight="false" outlineLevel="0" collapsed="false">
      <c r="A269" s="17" t="n">
        <v>3498</v>
      </c>
      <c r="B269" s="17" t="s">
        <v>347</v>
      </c>
      <c r="C269" s="17" t="s">
        <v>55</v>
      </c>
      <c r="D269" s="33" t="n">
        <v>45615</v>
      </c>
      <c r="E269" s="17" t="s">
        <v>48</v>
      </c>
      <c r="F269" s="17" t="n">
        <v>5</v>
      </c>
      <c r="G269" s="17" t="s">
        <v>43</v>
      </c>
      <c r="H269" s="17" t="s">
        <v>49</v>
      </c>
      <c r="I269" s="17" t="s">
        <v>92</v>
      </c>
      <c r="J269" s="17" t="s">
        <v>49</v>
      </c>
      <c r="K269" s="17" t="n">
        <v>0</v>
      </c>
      <c r="L269" s="17" t="n">
        <v>0</v>
      </c>
      <c r="M269" s="17" t="n">
        <v>5</v>
      </c>
      <c r="N269" s="34" t="n">
        <f aca="false">IF(D269="","",DATE(YEAR(D269),MONTH(D269),1))</f>
        <v>45597</v>
      </c>
      <c r="O269" s="35" t="n">
        <f aca="false">IF(A269="","",IF(ISNUMBER(I269),I269,0))</f>
        <v>0</v>
      </c>
      <c r="P269" s="35" t="n">
        <f aca="false">IF(A269="","",F269+O269+K269)</f>
        <v>5</v>
      </c>
      <c r="Q269" s="36" t="str">
        <f aca="false">IF(A269="","",IF(P269-L269=M269,"OK","Divergente"))</f>
        <v>OK</v>
      </c>
    </row>
    <row r="270" customFormat="false" ht="15" hidden="false" customHeight="false" outlineLevel="0" collapsed="false">
      <c r="A270" s="17" t="n">
        <v>3499</v>
      </c>
      <c r="B270" s="17" t="s">
        <v>348</v>
      </c>
      <c r="C270" s="17" t="s">
        <v>57</v>
      </c>
      <c r="D270" s="33" t="n">
        <v>45616</v>
      </c>
      <c r="E270" s="17" t="s">
        <v>49</v>
      </c>
      <c r="F270" s="17" t="n">
        <v>15</v>
      </c>
      <c r="G270" s="17" t="s">
        <v>42</v>
      </c>
      <c r="H270" s="17" t="s">
        <v>48</v>
      </c>
      <c r="I270" s="17" t="n">
        <v>30</v>
      </c>
      <c r="J270" s="17" t="s">
        <v>48</v>
      </c>
      <c r="K270" s="17" t="n">
        <v>20</v>
      </c>
      <c r="L270" s="17" t="n">
        <v>3</v>
      </c>
      <c r="M270" s="17" t="n">
        <v>62</v>
      </c>
      <c r="N270" s="34" t="n">
        <f aca="false">IF(D270="","",DATE(YEAR(D270),MONTH(D270),1))</f>
        <v>45597</v>
      </c>
      <c r="O270" s="35" t="n">
        <f aca="false">IF(A270="","",IF(ISNUMBER(I270),I270,0))</f>
        <v>30</v>
      </c>
      <c r="P270" s="35" t="n">
        <f aca="false">IF(A270="","",F270+O270+K270)</f>
        <v>65</v>
      </c>
      <c r="Q270" s="36" t="str">
        <f aca="false">IF(A270="","",IF(P270-L270=M270,"OK","Divergente"))</f>
        <v>OK</v>
      </c>
    </row>
    <row r="271" customFormat="false" ht="15" hidden="false" customHeight="false" outlineLevel="0" collapsed="false">
      <c r="A271" s="17" t="n">
        <v>3500</v>
      </c>
      <c r="B271" s="17" t="s">
        <v>349</v>
      </c>
      <c r="C271" s="17" t="s">
        <v>56</v>
      </c>
      <c r="D271" s="33" t="n">
        <v>45617</v>
      </c>
      <c r="E271" s="17" t="s">
        <v>48</v>
      </c>
      <c r="F271" s="17" t="n">
        <v>10</v>
      </c>
      <c r="G271" s="17" t="s">
        <v>44</v>
      </c>
      <c r="H271" s="17" t="s">
        <v>49</v>
      </c>
      <c r="I271" s="17" t="s">
        <v>92</v>
      </c>
      <c r="J271" s="17" t="s">
        <v>48</v>
      </c>
      <c r="K271" s="17" t="n">
        <v>20</v>
      </c>
      <c r="L271" s="17" t="n">
        <v>15</v>
      </c>
      <c r="M271" s="17" t="n">
        <v>15</v>
      </c>
      <c r="N271" s="34" t="n">
        <f aca="false">IF(D271="","",DATE(YEAR(D271),MONTH(D271),1))</f>
        <v>45597</v>
      </c>
      <c r="O271" s="35" t="n">
        <f aca="false">IF(A271="","",IF(ISNUMBER(I271),I271,0))</f>
        <v>0</v>
      </c>
      <c r="P271" s="35" t="n">
        <f aca="false">IF(A271="","",F271+O271+K271)</f>
        <v>30</v>
      </c>
      <c r="Q271" s="36" t="str">
        <f aca="false">IF(A271="","",IF(P271-L271=M271,"OK","Divergente"))</f>
        <v>OK</v>
      </c>
    </row>
    <row r="272" customFormat="false" ht="15" hidden="false" customHeight="false" outlineLevel="0" collapsed="false">
      <c r="A272" s="17" t="n">
        <v>3501</v>
      </c>
      <c r="B272" s="17" t="s">
        <v>350</v>
      </c>
      <c r="C272" s="17" t="s">
        <v>55</v>
      </c>
      <c r="D272" s="33" t="n">
        <v>45618</v>
      </c>
      <c r="E272" s="17" t="s">
        <v>49</v>
      </c>
      <c r="F272" s="17" t="n">
        <v>5</v>
      </c>
      <c r="G272" s="17" t="s">
        <v>42</v>
      </c>
      <c r="H272" s="17" t="s">
        <v>49</v>
      </c>
      <c r="I272" s="17" t="s">
        <v>92</v>
      </c>
      <c r="J272" s="17" t="s">
        <v>49</v>
      </c>
      <c r="K272" s="17" t="n">
        <v>0</v>
      </c>
      <c r="L272" s="17" t="n">
        <v>1</v>
      </c>
      <c r="M272" s="17" t="n">
        <v>4</v>
      </c>
      <c r="N272" s="34" t="n">
        <f aca="false">IF(D272="","",DATE(YEAR(D272),MONTH(D272),1))</f>
        <v>45597</v>
      </c>
      <c r="O272" s="35" t="n">
        <f aca="false">IF(A272="","",IF(ISNUMBER(I272),I272,0))</f>
        <v>0</v>
      </c>
      <c r="P272" s="35" t="n">
        <f aca="false">IF(A272="","",F272+O272+K272)</f>
        <v>5</v>
      </c>
      <c r="Q272" s="36" t="str">
        <f aca="false">IF(A272="","",IF(P272-L272=M272,"OK","Divergente"))</f>
        <v>OK</v>
      </c>
    </row>
    <row r="273" customFormat="false" ht="15" hidden="false" customHeight="false" outlineLevel="0" collapsed="false">
      <c r="A273" s="17" t="n">
        <v>3502</v>
      </c>
      <c r="B273" s="17" t="s">
        <v>351</v>
      </c>
      <c r="C273" s="17" t="s">
        <v>57</v>
      </c>
      <c r="D273" s="33" t="n">
        <v>45619</v>
      </c>
      <c r="E273" s="17" t="s">
        <v>48</v>
      </c>
      <c r="F273" s="17" t="n">
        <v>15</v>
      </c>
      <c r="G273" s="17" t="s">
        <v>43</v>
      </c>
      <c r="H273" s="17" t="s">
        <v>48</v>
      </c>
      <c r="I273" s="17" t="n">
        <v>30</v>
      </c>
      <c r="J273" s="17" t="s">
        <v>48</v>
      </c>
      <c r="K273" s="17" t="n">
        <v>20</v>
      </c>
      <c r="L273" s="17" t="n">
        <v>7</v>
      </c>
      <c r="M273" s="17" t="n">
        <v>58</v>
      </c>
      <c r="N273" s="34" t="n">
        <f aca="false">IF(D273="","",DATE(YEAR(D273),MONTH(D273),1))</f>
        <v>45597</v>
      </c>
      <c r="O273" s="35" t="n">
        <f aca="false">IF(A273="","",IF(ISNUMBER(I273),I273,0))</f>
        <v>30</v>
      </c>
      <c r="P273" s="35" t="n">
        <f aca="false">IF(A273="","",F273+O273+K273)</f>
        <v>65</v>
      </c>
      <c r="Q273" s="36" t="str">
        <f aca="false">IF(A273="","",IF(P273-L273=M273,"OK","Divergente"))</f>
        <v>OK</v>
      </c>
    </row>
    <row r="274" customFormat="false" ht="15" hidden="false" customHeight="false" outlineLevel="0" collapsed="false">
      <c r="A274" s="17" t="n">
        <v>3503</v>
      </c>
      <c r="B274" s="17" t="s">
        <v>210</v>
      </c>
      <c r="C274" s="17" t="s">
        <v>56</v>
      </c>
      <c r="D274" s="33" t="n">
        <v>45620</v>
      </c>
      <c r="E274" s="17" t="s">
        <v>49</v>
      </c>
      <c r="F274" s="17" t="n">
        <v>10</v>
      </c>
      <c r="G274" s="17" t="s">
        <v>42</v>
      </c>
      <c r="H274" s="17" t="s">
        <v>49</v>
      </c>
      <c r="I274" s="17" t="s">
        <v>92</v>
      </c>
      <c r="J274" s="17" t="s">
        <v>48</v>
      </c>
      <c r="K274" s="17" t="n">
        <v>20</v>
      </c>
      <c r="L274" s="17" t="n">
        <v>10</v>
      </c>
      <c r="M274" s="17" t="n">
        <v>20</v>
      </c>
      <c r="N274" s="34" t="n">
        <f aca="false">IF(D274="","",DATE(YEAR(D274),MONTH(D274),1))</f>
        <v>45597</v>
      </c>
      <c r="O274" s="35" t="n">
        <f aca="false">IF(A274="","",IF(ISNUMBER(I274),I274,0))</f>
        <v>0</v>
      </c>
      <c r="P274" s="35" t="n">
        <f aca="false">IF(A274="","",F274+O274+K274)</f>
        <v>30</v>
      </c>
      <c r="Q274" s="36" t="str">
        <f aca="false">IF(A274="","",IF(P274-L274=M274,"OK","Divergente"))</f>
        <v>OK</v>
      </c>
    </row>
    <row r="275" customFormat="false" ht="15" hidden="false" customHeight="false" outlineLevel="0" collapsed="false">
      <c r="A275" s="17" t="n">
        <v>3504</v>
      </c>
      <c r="B275" s="17" t="s">
        <v>352</v>
      </c>
      <c r="C275" s="17" t="s">
        <v>55</v>
      </c>
      <c r="D275" s="33" t="n">
        <v>45621</v>
      </c>
      <c r="E275" s="17" t="s">
        <v>48</v>
      </c>
      <c r="F275" s="17" t="n">
        <v>5</v>
      </c>
      <c r="G275" s="17" t="s">
        <v>44</v>
      </c>
      <c r="H275" s="17" t="s">
        <v>49</v>
      </c>
      <c r="I275" s="17" t="s">
        <v>92</v>
      </c>
      <c r="J275" s="17" t="s">
        <v>49</v>
      </c>
      <c r="K275" s="17" t="n">
        <v>0</v>
      </c>
      <c r="L275" s="17" t="n">
        <v>0</v>
      </c>
      <c r="M275" s="17" t="n">
        <v>5</v>
      </c>
      <c r="N275" s="34" t="n">
        <f aca="false">IF(D275="","",DATE(YEAR(D275),MONTH(D275),1))</f>
        <v>45597</v>
      </c>
      <c r="O275" s="35" t="n">
        <f aca="false">IF(A275="","",IF(ISNUMBER(I275),I275,0))</f>
        <v>0</v>
      </c>
      <c r="P275" s="35" t="n">
        <f aca="false">IF(A275="","",F275+O275+K275)</f>
        <v>5</v>
      </c>
      <c r="Q275" s="36" t="str">
        <f aca="false">IF(A275="","",IF(P275-L275=M275,"OK","Divergente"))</f>
        <v>OK</v>
      </c>
    </row>
    <row r="276" customFormat="false" ht="15" hidden="false" customHeight="false" outlineLevel="0" collapsed="false">
      <c r="A276" s="17" t="n">
        <v>3505</v>
      </c>
      <c r="B276" s="17" t="s">
        <v>353</v>
      </c>
      <c r="C276" s="17" t="s">
        <v>57</v>
      </c>
      <c r="D276" s="33" t="n">
        <v>45622</v>
      </c>
      <c r="E276" s="17" t="s">
        <v>49</v>
      </c>
      <c r="F276" s="17" t="n">
        <v>15</v>
      </c>
      <c r="G276" s="17" t="s">
        <v>42</v>
      </c>
      <c r="H276" s="17" t="s">
        <v>48</v>
      </c>
      <c r="I276" s="17" t="n">
        <v>30</v>
      </c>
      <c r="J276" s="17" t="s">
        <v>48</v>
      </c>
      <c r="K276" s="17" t="n">
        <v>20</v>
      </c>
      <c r="L276" s="17" t="n">
        <v>20</v>
      </c>
      <c r="M276" s="17" t="n">
        <v>45</v>
      </c>
      <c r="N276" s="34" t="n">
        <f aca="false">IF(D276="","",DATE(YEAR(D276),MONTH(D276),1))</f>
        <v>45597</v>
      </c>
      <c r="O276" s="35" t="n">
        <f aca="false">IF(A276="","",IF(ISNUMBER(I276),I276,0))</f>
        <v>30</v>
      </c>
      <c r="P276" s="35" t="n">
        <f aca="false">IF(A276="","",F276+O276+K276)</f>
        <v>65</v>
      </c>
      <c r="Q276" s="36" t="str">
        <f aca="false">IF(A276="","",IF(P276-L276=M276,"OK","Divergente"))</f>
        <v>OK</v>
      </c>
    </row>
    <row r="277" customFormat="false" ht="15" hidden="false" customHeight="false" outlineLevel="0" collapsed="false">
      <c r="A277" s="17" t="n">
        <v>3506</v>
      </c>
      <c r="B277" s="17" t="s">
        <v>354</v>
      </c>
      <c r="C277" s="17" t="s">
        <v>56</v>
      </c>
      <c r="D277" s="33" t="n">
        <v>45623</v>
      </c>
      <c r="E277" s="17" t="s">
        <v>48</v>
      </c>
      <c r="F277" s="17" t="n">
        <v>10</v>
      </c>
      <c r="G277" s="17" t="s">
        <v>43</v>
      </c>
      <c r="H277" s="17" t="s">
        <v>49</v>
      </c>
      <c r="I277" s="17" t="s">
        <v>92</v>
      </c>
      <c r="J277" s="17" t="s">
        <v>48</v>
      </c>
      <c r="K277" s="17" t="n">
        <v>20</v>
      </c>
      <c r="L277" s="17" t="n">
        <v>15</v>
      </c>
      <c r="M277" s="17" t="n">
        <v>15</v>
      </c>
      <c r="N277" s="34" t="n">
        <f aca="false">IF(D277="","",DATE(YEAR(D277),MONTH(D277),1))</f>
        <v>45597</v>
      </c>
      <c r="O277" s="35" t="n">
        <f aca="false">IF(A277="","",IF(ISNUMBER(I277),I277,0))</f>
        <v>0</v>
      </c>
      <c r="P277" s="35" t="n">
        <f aca="false">IF(A277="","",F277+O277+K277)</f>
        <v>30</v>
      </c>
      <c r="Q277" s="36" t="str">
        <f aca="false">IF(A277="","",IF(P277-L277=M277,"OK","Divergente"))</f>
        <v>OK</v>
      </c>
    </row>
    <row r="278" customFormat="false" ht="15" hidden="false" customHeight="false" outlineLevel="0" collapsed="false">
      <c r="A278" s="17" t="n">
        <v>3507</v>
      </c>
      <c r="B278" s="17" t="s">
        <v>355</v>
      </c>
      <c r="C278" s="17" t="s">
        <v>55</v>
      </c>
      <c r="D278" s="33" t="n">
        <v>45624</v>
      </c>
      <c r="E278" s="17" t="s">
        <v>49</v>
      </c>
      <c r="F278" s="17" t="n">
        <v>5</v>
      </c>
      <c r="G278" s="17" t="s">
        <v>42</v>
      </c>
      <c r="H278" s="17" t="s">
        <v>49</v>
      </c>
      <c r="I278" s="17" t="s">
        <v>92</v>
      </c>
      <c r="J278" s="17" t="s">
        <v>49</v>
      </c>
      <c r="K278" s="17" t="n">
        <v>0</v>
      </c>
      <c r="L278" s="17" t="n">
        <v>1</v>
      </c>
      <c r="M278" s="17" t="n">
        <v>4</v>
      </c>
      <c r="N278" s="34" t="n">
        <f aca="false">IF(D278="","",DATE(YEAR(D278),MONTH(D278),1))</f>
        <v>45597</v>
      </c>
      <c r="O278" s="35" t="n">
        <f aca="false">IF(A278="","",IF(ISNUMBER(I278),I278,0))</f>
        <v>0</v>
      </c>
      <c r="P278" s="35" t="n">
        <f aca="false">IF(A278="","",F278+O278+K278)</f>
        <v>5</v>
      </c>
      <c r="Q278" s="36" t="str">
        <f aca="false">IF(A278="","",IF(P278-L278=M278,"OK","Divergente"))</f>
        <v>OK</v>
      </c>
    </row>
    <row r="279" customFormat="false" ht="15" hidden="false" customHeight="false" outlineLevel="0" collapsed="false">
      <c r="A279" s="17" t="n">
        <v>3508</v>
      </c>
      <c r="B279" s="17" t="s">
        <v>356</v>
      </c>
      <c r="C279" s="17" t="s">
        <v>57</v>
      </c>
      <c r="D279" s="33" t="n">
        <v>45625</v>
      </c>
      <c r="E279" s="17" t="s">
        <v>48</v>
      </c>
      <c r="F279" s="17" t="n">
        <v>15</v>
      </c>
      <c r="G279" s="17" t="s">
        <v>44</v>
      </c>
      <c r="H279" s="17" t="s">
        <v>48</v>
      </c>
      <c r="I279" s="17" t="n">
        <v>30</v>
      </c>
      <c r="J279" s="17" t="s">
        <v>48</v>
      </c>
      <c r="K279" s="17" t="n">
        <v>20</v>
      </c>
      <c r="L279" s="17" t="n">
        <v>3</v>
      </c>
      <c r="M279" s="17" t="n">
        <v>62</v>
      </c>
      <c r="N279" s="34" t="n">
        <f aca="false">IF(D279="","",DATE(YEAR(D279),MONTH(D279),1))</f>
        <v>45597</v>
      </c>
      <c r="O279" s="35" t="n">
        <f aca="false">IF(A279="","",IF(ISNUMBER(I279),I279,0))</f>
        <v>30</v>
      </c>
      <c r="P279" s="35" t="n">
        <f aca="false">IF(A279="","",F279+O279+K279)</f>
        <v>65</v>
      </c>
      <c r="Q279" s="36" t="str">
        <f aca="false">IF(A279="","",IF(P279-L279=M279,"OK","Divergente"))</f>
        <v>OK</v>
      </c>
    </row>
    <row r="280" customFormat="false" ht="15" hidden="false" customHeight="false" outlineLevel="0" collapsed="false">
      <c r="A280" s="17" t="n">
        <v>3509</v>
      </c>
      <c r="B280" s="17" t="s">
        <v>357</v>
      </c>
      <c r="C280" s="17" t="s">
        <v>56</v>
      </c>
      <c r="D280" s="33" t="n">
        <v>45626</v>
      </c>
      <c r="E280" s="17" t="s">
        <v>49</v>
      </c>
      <c r="F280" s="17" t="n">
        <v>10</v>
      </c>
      <c r="G280" s="17" t="s">
        <v>42</v>
      </c>
      <c r="H280" s="17" t="s">
        <v>49</v>
      </c>
      <c r="I280" s="17" t="s">
        <v>92</v>
      </c>
      <c r="J280" s="17" t="s">
        <v>48</v>
      </c>
      <c r="K280" s="17" t="n">
        <v>20</v>
      </c>
      <c r="L280" s="17" t="n">
        <v>10</v>
      </c>
      <c r="M280" s="17" t="n">
        <v>20</v>
      </c>
      <c r="N280" s="34" t="n">
        <f aca="false">IF(D280="","",DATE(YEAR(D280),MONTH(D280),1))</f>
        <v>45597</v>
      </c>
      <c r="O280" s="35" t="n">
        <f aca="false">IF(A280="","",IF(ISNUMBER(I280),I280,0))</f>
        <v>0</v>
      </c>
      <c r="P280" s="35" t="n">
        <f aca="false">IF(A280="","",F280+O280+K280)</f>
        <v>30</v>
      </c>
      <c r="Q280" s="36" t="str">
        <f aca="false">IF(A280="","",IF(P280-L280=M280,"OK","Divergente"))</f>
        <v>OK</v>
      </c>
    </row>
    <row r="281" customFormat="false" ht="15" hidden="false" customHeight="false" outlineLevel="0" collapsed="false">
      <c r="A281" s="17" t="n">
        <v>3510</v>
      </c>
      <c r="B281" s="17" t="s">
        <v>358</v>
      </c>
      <c r="C281" s="17" t="s">
        <v>55</v>
      </c>
      <c r="D281" s="33" t="n">
        <v>45627</v>
      </c>
      <c r="E281" s="17" t="s">
        <v>48</v>
      </c>
      <c r="F281" s="17" t="n">
        <v>5</v>
      </c>
      <c r="G281" s="17" t="s">
        <v>43</v>
      </c>
      <c r="H281" s="17" t="s">
        <v>49</v>
      </c>
      <c r="I281" s="17" t="s">
        <v>92</v>
      </c>
      <c r="J281" s="17" t="s">
        <v>49</v>
      </c>
      <c r="K281" s="17" t="n">
        <v>0</v>
      </c>
      <c r="L281" s="17" t="n">
        <v>0</v>
      </c>
      <c r="M281" s="17" t="n">
        <v>5</v>
      </c>
      <c r="N281" s="34" t="n">
        <f aca="false">IF(D281="","",DATE(YEAR(D281),MONTH(D281),1))</f>
        <v>45627</v>
      </c>
      <c r="O281" s="35" t="n">
        <f aca="false">IF(A281="","",IF(ISNUMBER(I281),I281,0))</f>
        <v>0</v>
      </c>
      <c r="P281" s="35" t="n">
        <f aca="false">IF(A281="","",F281+O281+K281)</f>
        <v>5</v>
      </c>
      <c r="Q281" s="36" t="str">
        <f aca="false">IF(A281="","",IF(P281-L281=M281,"OK","Divergente"))</f>
        <v>OK</v>
      </c>
    </row>
    <row r="282" customFormat="false" ht="15" hidden="false" customHeight="false" outlineLevel="0" collapsed="false">
      <c r="A282" s="17" t="n">
        <v>3511</v>
      </c>
      <c r="B282" s="17" t="s">
        <v>359</v>
      </c>
      <c r="C282" s="17" t="s">
        <v>57</v>
      </c>
      <c r="D282" s="33" t="n">
        <v>45628</v>
      </c>
      <c r="E282" s="17" t="s">
        <v>49</v>
      </c>
      <c r="F282" s="17" t="n">
        <v>15</v>
      </c>
      <c r="G282" s="17" t="s">
        <v>42</v>
      </c>
      <c r="H282" s="17" t="s">
        <v>48</v>
      </c>
      <c r="I282" s="17" t="n">
        <v>30</v>
      </c>
      <c r="J282" s="17" t="s">
        <v>48</v>
      </c>
      <c r="K282" s="17" t="n">
        <v>20</v>
      </c>
      <c r="L282" s="17" t="n">
        <v>15</v>
      </c>
      <c r="M282" s="17" t="n">
        <v>50</v>
      </c>
      <c r="N282" s="34" t="n">
        <f aca="false">IF(D282="","",DATE(YEAR(D282),MONTH(D282),1))</f>
        <v>45627</v>
      </c>
      <c r="O282" s="35" t="n">
        <f aca="false">IF(A282="","",IF(ISNUMBER(I282),I282,0))</f>
        <v>30</v>
      </c>
      <c r="P282" s="35" t="n">
        <f aca="false">IF(A282="","",F282+O282+K282)</f>
        <v>65</v>
      </c>
      <c r="Q282" s="36" t="str">
        <f aca="false">IF(A282="","",IF(P282-L282=M282,"OK","Divergente"))</f>
        <v>OK</v>
      </c>
    </row>
    <row r="283" customFormat="false" ht="15" hidden="false" customHeight="false" outlineLevel="0" collapsed="false">
      <c r="A283" s="17" t="n">
        <v>3512</v>
      </c>
      <c r="B283" s="17" t="s">
        <v>360</v>
      </c>
      <c r="C283" s="17" t="s">
        <v>56</v>
      </c>
      <c r="D283" s="33" t="n">
        <v>45629</v>
      </c>
      <c r="E283" s="17" t="s">
        <v>48</v>
      </c>
      <c r="F283" s="17" t="n">
        <v>10</v>
      </c>
      <c r="G283" s="17" t="s">
        <v>44</v>
      </c>
      <c r="H283" s="17" t="s">
        <v>49</v>
      </c>
      <c r="I283" s="17" t="s">
        <v>92</v>
      </c>
      <c r="J283" s="17" t="s">
        <v>48</v>
      </c>
      <c r="K283" s="17" t="n">
        <v>20</v>
      </c>
      <c r="L283" s="17" t="n">
        <v>15</v>
      </c>
      <c r="M283" s="17" t="n">
        <v>15</v>
      </c>
      <c r="N283" s="34" t="n">
        <f aca="false">IF(D283="","",DATE(YEAR(D283),MONTH(D283),1))</f>
        <v>45627</v>
      </c>
      <c r="O283" s="35" t="n">
        <f aca="false">IF(A283="","",IF(ISNUMBER(I283),I283,0))</f>
        <v>0</v>
      </c>
      <c r="P283" s="35" t="n">
        <f aca="false">IF(A283="","",F283+O283+K283)</f>
        <v>30</v>
      </c>
      <c r="Q283" s="36" t="str">
        <f aca="false">IF(A283="","",IF(P283-L283=M283,"OK","Divergente"))</f>
        <v>OK</v>
      </c>
    </row>
    <row r="284" customFormat="false" ht="15" hidden="false" customHeight="false" outlineLevel="0" collapsed="false">
      <c r="A284" s="17" t="n">
        <v>3513</v>
      </c>
      <c r="B284" s="17" t="s">
        <v>361</v>
      </c>
      <c r="C284" s="17" t="s">
        <v>55</v>
      </c>
      <c r="D284" s="33" t="n">
        <v>45630</v>
      </c>
      <c r="E284" s="17" t="s">
        <v>49</v>
      </c>
      <c r="F284" s="17" t="n">
        <v>5</v>
      </c>
      <c r="G284" s="17" t="s">
        <v>42</v>
      </c>
      <c r="H284" s="17" t="s">
        <v>49</v>
      </c>
      <c r="I284" s="17" t="s">
        <v>92</v>
      </c>
      <c r="J284" s="17" t="s">
        <v>49</v>
      </c>
      <c r="K284" s="17" t="n">
        <v>0</v>
      </c>
      <c r="L284" s="17" t="n">
        <v>1</v>
      </c>
      <c r="M284" s="17" t="n">
        <v>4</v>
      </c>
      <c r="N284" s="34" t="n">
        <f aca="false">IF(D284="","",DATE(YEAR(D284),MONTH(D284),1))</f>
        <v>45627</v>
      </c>
      <c r="O284" s="35" t="n">
        <f aca="false">IF(A284="","",IF(ISNUMBER(I284),I284,0))</f>
        <v>0</v>
      </c>
      <c r="P284" s="35" t="n">
        <f aca="false">IF(A284="","",F284+O284+K284)</f>
        <v>5</v>
      </c>
      <c r="Q284" s="36" t="str">
        <f aca="false">IF(A284="","",IF(P284-L284=M284,"OK","Divergente"))</f>
        <v>OK</v>
      </c>
    </row>
    <row r="285" customFormat="false" ht="15" hidden="false" customHeight="false" outlineLevel="0" collapsed="false">
      <c r="A285" s="17" t="n">
        <v>3514</v>
      </c>
      <c r="B285" s="17" t="s">
        <v>362</v>
      </c>
      <c r="C285" s="17" t="s">
        <v>57</v>
      </c>
      <c r="D285" s="33" t="n">
        <v>45631</v>
      </c>
      <c r="E285" s="17" t="s">
        <v>48</v>
      </c>
      <c r="F285" s="17" t="n">
        <v>15</v>
      </c>
      <c r="G285" s="17" t="s">
        <v>43</v>
      </c>
      <c r="H285" s="17" t="s">
        <v>48</v>
      </c>
      <c r="I285" s="17" t="n">
        <v>30</v>
      </c>
      <c r="J285" s="17" t="s">
        <v>48</v>
      </c>
      <c r="K285" s="17" t="n">
        <v>20</v>
      </c>
      <c r="L285" s="17" t="n">
        <v>7</v>
      </c>
      <c r="M285" s="17" t="n">
        <v>58</v>
      </c>
      <c r="N285" s="34" t="n">
        <f aca="false">IF(D285="","",DATE(YEAR(D285),MONTH(D285),1))</f>
        <v>45627</v>
      </c>
      <c r="O285" s="35" t="n">
        <f aca="false">IF(A285="","",IF(ISNUMBER(I285),I285,0))</f>
        <v>30</v>
      </c>
      <c r="P285" s="35" t="n">
        <f aca="false">IF(A285="","",F285+O285+K285)</f>
        <v>65</v>
      </c>
      <c r="Q285" s="36" t="str">
        <f aca="false">IF(A285="","",IF(P285-L285=M285,"OK","Divergente"))</f>
        <v>OK</v>
      </c>
    </row>
    <row r="286" customFormat="false" ht="15" hidden="false" customHeight="false" outlineLevel="0" collapsed="false">
      <c r="A286" s="17" t="n">
        <v>3515</v>
      </c>
      <c r="B286" s="17" t="s">
        <v>221</v>
      </c>
      <c r="C286" s="17" t="s">
        <v>56</v>
      </c>
      <c r="D286" s="33" t="n">
        <v>45632</v>
      </c>
      <c r="E286" s="17" t="s">
        <v>49</v>
      </c>
      <c r="F286" s="17" t="n">
        <v>10</v>
      </c>
      <c r="G286" s="17" t="s">
        <v>42</v>
      </c>
      <c r="H286" s="17" t="s">
        <v>49</v>
      </c>
      <c r="I286" s="17" t="s">
        <v>92</v>
      </c>
      <c r="J286" s="17" t="s">
        <v>48</v>
      </c>
      <c r="K286" s="17" t="n">
        <v>20</v>
      </c>
      <c r="L286" s="17" t="n">
        <v>10</v>
      </c>
      <c r="M286" s="17" t="n">
        <v>20</v>
      </c>
      <c r="N286" s="34" t="n">
        <f aca="false">IF(D286="","",DATE(YEAR(D286),MONTH(D286),1))</f>
        <v>45627</v>
      </c>
      <c r="O286" s="35" t="n">
        <f aca="false">IF(A286="","",IF(ISNUMBER(I286),I286,0))</f>
        <v>0</v>
      </c>
      <c r="P286" s="35" t="n">
        <f aca="false">IF(A286="","",F286+O286+K286)</f>
        <v>30</v>
      </c>
      <c r="Q286" s="36" t="str">
        <f aca="false">IF(A286="","",IF(P286-L286=M286,"OK","Divergente"))</f>
        <v>OK</v>
      </c>
    </row>
    <row r="287" customFormat="false" ht="15" hidden="false" customHeight="false" outlineLevel="0" collapsed="false">
      <c r="A287" s="17" t="n">
        <v>3516</v>
      </c>
      <c r="B287" s="17" t="s">
        <v>222</v>
      </c>
      <c r="C287" s="17" t="s">
        <v>55</v>
      </c>
      <c r="D287" s="33" t="n">
        <v>45633</v>
      </c>
      <c r="E287" s="17" t="s">
        <v>48</v>
      </c>
      <c r="F287" s="17" t="n">
        <v>5</v>
      </c>
      <c r="G287" s="17" t="s">
        <v>44</v>
      </c>
      <c r="H287" s="17" t="s">
        <v>49</v>
      </c>
      <c r="I287" s="17" t="s">
        <v>92</v>
      </c>
      <c r="J287" s="17" t="s">
        <v>49</v>
      </c>
      <c r="K287" s="17" t="n">
        <v>0</v>
      </c>
      <c r="L287" s="17" t="n">
        <v>0</v>
      </c>
      <c r="M287" s="17" t="n">
        <v>5</v>
      </c>
      <c r="N287" s="34" t="n">
        <f aca="false">IF(D287="","",DATE(YEAR(D287),MONTH(D287),1))</f>
        <v>45627</v>
      </c>
      <c r="O287" s="35" t="n">
        <f aca="false">IF(A287="","",IF(ISNUMBER(I287),I287,0))</f>
        <v>0</v>
      </c>
      <c r="P287" s="35" t="n">
        <f aca="false">IF(A287="","",F287+O287+K287)</f>
        <v>5</v>
      </c>
      <c r="Q287" s="36" t="str">
        <f aca="false">IF(A287="","",IF(P287-L287=M287,"OK","Divergente"))</f>
        <v>OK</v>
      </c>
    </row>
    <row r="288" customFormat="false" ht="15" hidden="false" customHeight="false" outlineLevel="0" collapsed="false">
      <c r="A288" s="17" t="n">
        <v>3517</v>
      </c>
      <c r="B288" s="17" t="s">
        <v>272</v>
      </c>
      <c r="C288" s="17" t="s">
        <v>57</v>
      </c>
      <c r="D288" s="33" t="n">
        <v>45634</v>
      </c>
      <c r="E288" s="17" t="s">
        <v>49</v>
      </c>
      <c r="F288" s="17" t="n">
        <v>15</v>
      </c>
      <c r="G288" s="17" t="s">
        <v>42</v>
      </c>
      <c r="H288" s="17" t="s">
        <v>48</v>
      </c>
      <c r="I288" s="17" t="n">
        <v>30</v>
      </c>
      <c r="J288" s="17" t="s">
        <v>48</v>
      </c>
      <c r="K288" s="17" t="n">
        <v>20</v>
      </c>
      <c r="L288" s="17" t="n">
        <v>20</v>
      </c>
      <c r="M288" s="17" t="n">
        <v>45</v>
      </c>
      <c r="N288" s="34" t="n">
        <f aca="false">IF(D288="","",DATE(YEAR(D288),MONTH(D288),1))</f>
        <v>45627</v>
      </c>
      <c r="O288" s="35" t="n">
        <f aca="false">IF(A288="","",IF(ISNUMBER(I288),I288,0))</f>
        <v>30</v>
      </c>
      <c r="P288" s="35" t="n">
        <f aca="false">IF(A288="","",F288+O288+K288)</f>
        <v>65</v>
      </c>
      <c r="Q288" s="36" t="str">
        <f aca="false">IF(A288="","",IF(P288-L288=M288,"OK","Divergente"))</f>
        <v>OK</v>
      </c>
    </row>
    <row r="289" customFormat="false" ht="15" hidden="false" customHeight="false" outlineLevel="0" collapsed="false">
      <c r="A289" s="17" t="n">
        <v>3518</v>
      </c>
      <c r="B289" s="17" t="s">
        <v>363</v>
      </c>
      <c r="C289" s="17" t="s">
        <v>56</v>
      </c>
      <c r="D289" s="33" t="n">
        <v>45635</v>
      </c>
      <c r="E289" s="17" t="s">
        <v>48</v>
      </c>
      <c r="F289" s="17" t="n">
        <v>10</v>
      </c>
      <c r="G289" s="17" t="s">
        <v>43</v>
      </c>
      <c r="H289" s="17" t="s">
        <v>49</v>
      </c>
      <c r="I289" s="17" t="s">
        <v>92</v>
      </c>
      <c r="J289" s="17" t="s">
        <v>48</v>
      </c>
      <c r="K289" s="17" t="n">
        <v>20</v>
      </c>
      <c r="L289" s="17" t="n">
        <v>12</v>
      </c>
      <c r="M289" s="17" t="n">
        <v>18</v>
      </c>
      <c r="N289" s="34" t="n">
        <f aca="false">IF(D289="","",DATE(YEAR(D289),MONTH(D289),1))</f>
        <v>45627</v>
      </c>
      <c r="O289" s="35" t="n">
        <f aca="false">IF(A289="","",IF(ISNUMBER(I289),I289,0))</f>
        <v>0</v>
      </c>
      <c r="P289" s="35" t="n">
        <f aca="false">IF(A289="","",F289+O289+K289)</f>
        <v>30</v>
      </c>
      <c r="Q289" s="36" t="str">
        <f aca="false">IF(A289="","",IF(P289-L289=M289,"OK","Divergente"))</f>
        <v>OK</v>
      </c>
    </row>
    <row r="290" customFormat="false" ht="15" hidden="false" customHeight="false" outlineLevel="0" collapsed="false">
      <c r="A290" s="17" t="n">
        <v>3519</v>
      </c>
      <c r="B290" s="17" t="s">
        <v>364</v>
      </c>
      <c r="C290" s="17" t="s">
        <v>55</v>
      </c>
      <c r="D290" s="33" t="n">
        <v>45636</v>
      </c>
      <c r="E290" s="17" t="s">
        <v>49</v>
      </c>
      <c r="F290" s="17" t="n">
        <v>5</v>
      </c>
      <c r="G290" s="17" t="s">
        <v>42</v>
      </c>
      <c r="H290" s="17" t="s">
        <v>49</v>
      </c>
      <c r="I290" s="17" t="s">
        <v>92</v>
      </c>
      <c r="J290" s="17" t="s">
        <v>49</v>
      </c>
      <c r="K290" s="17" t="n">
        <v>0</v>
      </c>
      <c r="L290" s="17" t="n">
        <v>2</v>
      </c>
      <c r="M290" s="17" t="n">
        <v>3</v>
      </c>
      <c r="N290" s="34" t="n">
        <f aca="false">IF(D290="","",DATE(YEAR(D290),MONTH(D290),1))</f>
        <v>45627</v>
      </c>
      <c r="O290" s="35" t="n">
        <f aca="false">IF(A290="","",IF(ISNUMBER(I290),I290,0))</f>
        <v>0</v>
      </c>
      <c r="P290" s="35" t="n">
        <f aca="false">IF(A290="","",F290+O290+K290)</f>
        <v>5</v>
      </c>
      <c r="Q290" s="36" t="str">
        <f aca="false">IF(A290="","",IF(P290-L290=M290,"OK","Divergente"))</f>
        <v>OK</v>
      </c>
    </row>
    <row r="291" customFormat="false" ht="15" hidden="false" customHeight="false" outlineLevel="0" collapsed="false">
      <c r="A291" s="17" t="n">
        <v>3520</v>
      </c>
      <c r="B291" s="17" t="s">
        <v>365</v>
      </c>
      <c r="C291" s="17" t="s">
        <v>57</v>
      </c>
      <c r="D291" s="33" t="n">
        <v>45637</v>
      </c>
      <c r="E291" s="17" t="s">
        <v>48</v>
      </c>
      <c r="F291" s="17" t="n">
        <v>15</v>
      </c>
      <c r="G291" s="17" t="s">
        <v>44</v>
      </c>
      <c r="H291" s="17" t="s">
        <v>48</v>
      </c>
      <c r="I291" s="17" t="n">
        <v>30</v>
      </c>
      <c r="J291" s="17" t="s">
        <v>48</v>
      </c>
      <c r="K291" s="17" t="n">
        <v>20</v>
      </c>
      <c r="L291" s="17" t="n">
        <v>5</v>
      </c>
      <c r="M291" s="17" t="n">
        <v>60</v>
      </c>
      <c r="N291" s="34" t="n">
        <f aca="false">IF(D291="","",DATE(YEAR(D291),MONTH(D291),1))</f>
        <v>45627</v>
      </c>
      <c r="O291" s="35" t="n">
        <f aca="false">IF(A291="","",IF(ISNUMBER(I291),I291,0))</f>
        <v>30</v>
      </c>
      <c r="P291" s="35" t="n">
        <f aca="false">IF(A291="","",F291+O291+K291)</f>
        <v>65</v>
      </c>
      <c r="Q291" s="36" t="str">
        <f aca="false">IF(A291="","",IF(P291-L291=M291,"OK","Divergente"))</f>
        <v>OK</v>
      </c>
    </row>
    <row r="292" customFormat="false" ht="15" hidden="false" customHeight="false" outlineLevel="0" collapsed="false">
      <c r="A292" s="17" t="n">
        <v>3521</v>
      </c>
      <c r="B292" s="17" t="s">
        <v>366</v>
      </c>
      <c r="C292" s="17" t="s">
        <v>56</v>
      </c>
      <c r="D292" s="33" t="n">
        <v>45638</v>
      </c>
      <c r="E292" s="17" t="s">
        <v>49</v>
      </c>
      <c r="F292" s="17" t="n">
        <v>10</v>
      </c>
      <c r="G292" s="17" t="s">
        <v>42</v>
      </c>
      <c r="H292" s="17" t="s">
        <v>49</v>
      </c>
      <c r="I292" s="17" t="s">
        <v>92</v>
      </c>
      <c r="J292" s="17" t="s">
        <v>48</v>
      </c>
      <c r="K292" s="17" t="n">
        <v>20</v>
      </c>
      <c r="L292" s="17" t="n">
        <v>10</v>
      </c>
      <c r="M292" s="17" t="n">
        <v>20</v>
      </c>
      <c r="N292" s="34" t="n">
        <f aca="false">IF(D292="","",DATE(YEAR(D292),MONTH(D292),1))</f>
        <v>45627</v>
      </c>
      <c r="O292" s="35" t="n">
        <f aca="false">IF(A292="","",IF(ISNUMBER(I292),I292,0))</f>
        <v>0</v>
      </c>
      <c r="P292" s="35" t="n">
        <f aca="false">IF(A292="","",F292+O292+K292)</f>
        <v>30</v>
      </c>
      <c r="Q292" s="36" t="str">
        <f aca="false">IF(A292="","",IF(P292-L292=M292,"OK","Divergente"))</f>
        <v>OK</v>
      </c>
    </row>
    <row r="293" customFormat="false" ht="15" hidden="false" customHeight="false" outlineLevel="0" collapsed="false">
      <c r="A293" s="17" t="n">
        <v>3522</v>
      </c>
      <c r="B293" s="17" t="s">
        <v>367</v>
      </c>
      <c r="C293" s="17" t="s">
        <v>55</v>
      </c>
      <c r="D293" s="33" t="n">
        <v>45639</v>
      </c>
      <c r="E293" s="17" t="s">
        <v>48</v>
      </c>
      <c r="F293" s="17" t="n">
        <v>5</v>
      </c>
      <c r="G293" s="17" t="s">
        <v>43</v>
      </c>
      <c r="H293" s="17" t="s">
        <v>49</v>
      </c>
      <c r="I293" s="17" t="s">
        <v>92</v>
      </c>
      <c r="J293" s="17" t="s">
        <v>49</v>
      </c>
      <c r="K293" s="17" t="n">
        <v>0</v>
      </c>
      <c r="L293" s="17" t="n">
        <v>0</v>
      </c>
      <c r="M293" s="17" t="n">
        <v>5</v>
      </c>
      <c r="N293" s="34" t="n">
        <f aca="false">IF(D293="","",DATE(YEAR(D293),MONTH(D293),1))</f>
        <v>45627</v>
      </c>
      <c r="O293" s="35" t="n">
        <f aca="false">IF(A293="","",IF(ISNUMBER(I293),I293,0))</f>
        <v>0</v>
      </c>
      <c r="P293" s="35" t="n">
        <f aca="false">IF(A293="","",F293+O293+K293)</f>
        <v>5</v>
      </c>
      <c r="Q293" s="36" t="str">
        <f aca="false">IF(A293="","",IF(P293-L293=M293,"OK","Divergente"))</f>
        <v>OK</v>
      </c>
    </row>
    <row r="294" customFormat="false" ht="15" hidden="false" customHeight="false" outlineLevel="0" collapsed="false">
      <c r="A294" s="17" t="n">
        <v>3523</v>
      </c>
      <c r="B294" s="17" t="s">
        <v>368</v>
      </c>
      <c r="C294" s="17" t="s">
        <v>57</v>
      </c>
      <c r="D294" s="33" t="n">
        <v>45640</v>
      </c>
      <c r="E294" s="17" t="s">
        <v>49</v>
      </c>
      <c r="F294" s="17" t="n">
        <v>15</v>
      </c>
      <c r="G294" s="17" t="s">
        <v>42</v>
      </c>
      <c r="H294" s="17" t="s">
        <v>48</v>
      </c>
      <c r="I294" s="17" t="n">
        <v>30</v>
      </c>
      <c r="J294" s="17" t="s">
        <v>48</v>
      </c>
      <c r="K294" s="17" t="n">
        <v>20</v>
      </c>
      <c r="L294" s="17" t="n">
        <v>3</v>
      </c>
      <c r="M294" s="17" t="n">
        <v>62</v>
      </c>
      <c r="N294" s="34" t="n">
        <f aca="false">IF(D294="","",DATE(YEAR(D294),MONTH(D294),1))</f>
        <v>45627</v>
      </c>
      <c r="O294" s="35" t="n">
        <f aca="false">IF(A294="","",IF(ISNUMBER(I294),I294,0))</f>
        <v>30</v>
      </c>
      <c r="P294" s="35" t="n">
        <f aca="false">IF(A294="","",F294+O294+K294)</f>
        <v>65</v>
      </c>
      <c r="Q294" s="36" t="str">
        <f aca="false">IF(A294="","",IF(P294-L294=M294,"OK","Divergente"))</f>
        <v>OK</v>
      </c>
    </row>
    <row r="295" customFormat="false" ht="15" hidden="false" customHeight="false" outlineLevel="0" collapsed="false">
      <c r="A295" s="17" t="n">
        <v>3524</v>
      </c>
      <c r="B295" s="17" t="s">
        <v>369</v>
      </c>
      <c r="C295" s="17" t="s">
        <v>56</v>
      </c>
      <c r="D295" s="33" t="n">
        <v>45641</v>
      </c>
      <c r="E295" s="17" t="s">
        <v>48</v>
      </c>
      <c r="F295" s="17" t="n">
        <v>10</v>
      </c>
      <c r="G295" s="17" t="s">
        <v>44</v>
      </c>
      <c r="H295" s="17" t="s">
        <v>49</v>
      </c>
      <c r="I295" s="17" t="s">
        <v>92</v>
      </c>
      <c r="J295" s="17" t="s">
        <v>48</v>
      </c>
      <c r="K295" s="17" t="n">
        <v>20</v>
      </c>
      <c r="L295" s="17" t="n">
        <v>15</v>
      </c>
      <c r="M295" s="17" t="n">
        <v>15</v>
      </c>
      <c r="N295" s="34" t="n">
        <f aca="false">IF(D295="","",DATE(YEAR(D295),MONTH(D295),1))</f>
        <v>45627</v>
      </c>
      <c r="O295" s="35" t="n">
        <f aca="false">IF(A295="","",IF(ISNUMBER(I295),I295,0))</f>
        <v>0</v>
      </c>
      <c r="P295" s="35" t="n">
        <f aca="false">IF(A295="","",F295+O295+K295)</f>
        <v>30</v>
      </c>
      <c r="Q295" s="36" t="str">
        <f aca="false">IF(A295="","",IF(P295-L295=M295,"OK","Divergente"))</f>
        <v>OK</v>
      </c>
    </row>
    <row r="296" customFormat="false" ht="15" hidden="false" customHeight="false" outlineLevel="0" collapsed="false">
      <c r="A296" s="17" t="n">
        <v>3525</v>
      </c>
      <c r="B296" s="17" t="s">
        <v>370</v>
      </c>
      <c r="C296" s="17" t="s">
        <v>55</v>
      </c>
      <c r="D296" s="33" t="n">
        <v>45642</v>
      </c>
      <c r="E296" s="17" t="s">
        <v>49</v>
      </c>
      <c r="F296" s="17" t="n">
        <v>5</v>
      </c>
      <c r="G296" s="17" t="s">
        <v>42</v>
      </c>
      <c r="H296" s="17" t="s">
        <v>49</v>
      </c>
      <c r="I296" s="17" t="s">
        <v>92</v>
      </c>
      <c r="J296" s="17" t="s">
        <v>49</v>
      </c>
      <c r="K296" s="17" t="n">
        <v>0</v>
      </c>
      <c r="L296" s="17" t="n">
        <v>1</v>
      </c>
      <c r="M296" s="17" t="n">
        <v>4</v>
      </c>
      <c r="N296" s="34" t="n">
        <f aca="false">IF(D296="","",DATE(YEAR(D296),MONTH(D296),1))</f>
        <v>45627</v>
      </c>
      <c r="O296" s="35" t="n">
        <f aca="false">IF(A296="","",IF(ISNUMBER(I296),I296,0))</f>
        <v>0</v>
      </c>
      <c r="P296" s="35" t="n">
        <f aca="false">IF(A296="","",F296+O296+K296)</f>
        <v>5</v>
      </c>
      <c r="Q296" s="36" t="str">
        <f aca="false">IF(A296="","",IF(P296-L296=M296,"OK","Divergente"))</f>
        <v>OK</v>
      </c>
    </row>
    <row r="297" customFormat="false" ht="15" hidden="false" customHeight="false" outlineLevel="0" collapsed="false">
      <c r="N297" s="34" t="str">
        <f aca="false">IF(D297="","",DATE(YEAR(D297),MONTH(D297),1))</f>
        <v/>
      </c>
      <c r="O297" s="35" t="str">
        <f aca="false">IF(A297="","",IF(ISNUMBER(I297),I297,0))</f>
        <v/>
      </c>
      <c r="P297" s="35" t="str">
        <f aca="false">IF(A297="","",F297+O297+K297)</f>
        <v/>
      </c>
      <c r="Q297" s="36" t="str">
        <f aca="false">IF(A297="","",IF(P297-L297=M297,"OK","Divergente"))</f>
        <v/>
      </c>
    </row>
    <row r="298" customFormat="false" ht="15" hidden="false" customHeight="false" outlineLevel="0" collapsed="false">
      <c r="N298" s="34" t="str">
        <f aca="false">IF(D298="","",DATE(YEAR(D298),MONTH(D298),1))</f>
        <v/>
      </c>
      <c r="O298" s="35" t="str">
        <f aca="false">IF(A298="","",IF(ISNUMBER(I298),I298,0))</f>
        <v/>
      </c>
      <c r="P298" s="35" t="str">
        <f aca="false">IF(A298="","",F298+O298+K298)</f>
        <v/>
      </c>
      <c r="Q298" s="36" t="str">
        <f aca="false">IF(A298="","",IF(P298-L298=M298,"OK","Divergente"))</f>
        <v/>
      </c>
    </row>
    <row r="299" customFormat="false" ht="15" hidden="false" customHeight="false" outlineLevel="0" collapsed="false">
      <c r="N299" s="34" t="str">
        <f aca="false">IF(D299="","",DATE(YEAR(D299),MONTH(D299),1))</f>
        <v/>
      </c>
      <c r="O299" s="35" t="str">
        <f aca="false">IF(A299="","",IF(ISNUMBER(I299),I299,0))</f>
        <v/>
      </c>
      <c r="P299" s="35" t="str">
        <f aca="false">IF(A299="","",F299+O299+K299)</f>
        <v/>
      </c>
      <c r="Q299" s="36" t="str">
        <f aca="false">IF(A299="","",IF(P299-L299=M299,"OK","Divergente"))</f>
        <v/>
      </c>
    </row>
    <row r="300" customFormat="false" ht="15" hidden="false" customHeight="false" outlineLevel="0" collapsed="false">
      <c r="N300" s="34" t="str">
        <f aca="false">IF(D300="","",DATE(YEAR(D300),MONTH(D300),1))</f>
        <v/>
      </c>
      <c r="O300" s="35" t="str">
        <f aca="false">IF(A300="","",IF(ISNUMBER(I300),I300,0))</f>
        <v/>
      </c>
      <c r="P300" s="35" t="str">
        <f aca="false">IF(A300="","",F300+O300+K300)</f>
        <v/>
      </c>
      <c r="Q300" s="36" t="str">
        <f aca="false">IF(A300="","",IF(P300-L300=M300,"OK","Divergente"))</f>
        <v/>
      </c>
    </row>
    <row r="301" customFormat="false" ht="15" hidden="false" customHeight="false" outlineLevel="0" collapsed="false">
      <c r="N301" s="34" t="str">
        <f aca="false">IF(D301="","",DATE(YEAR(D301),MONTH(D301),1))</f>
        <v/>
      </c>
      <c r="O301" s="35" t="str">
        <f aca="false">IF(A301="","",IF(ISNUMBER(I301),I301,0))</f>
        <v/>
      </c>
      <c r="P301" s="35" t="str">
        <f aca="false">IF(A301="","",F301+O301+K301)</f>
        <v/>
      </c>
      <c r="Q301" s="36" t="str">
        <f aca="false">IF(A301="","",IF(P301-L301=M301,"OK","Divergente"))</f>
        <v/>
      </c>
    </row>
    <row r="302" customFormat="false" ht="15" hidden="false" customHeight="false" outlineLevel="0" collapsed="false">
      <c r="N302" s="34" t="str">
        <f aca="false">IF(D302="","",DATE(YEAR(D302),MONTH(D302),1))</f>
        <v/>
      </c>
      <c r="O302" s="35" t="str">
        <f aca="false">IF(A302="","",IF(ISNUMBER(I302),I302,0))</f>
        <v/>
      </c>
      <c r="P302" s="35" t="str">
        <f aca="false">IF(A302="","",F302+O302+K302)</f>
        <v/>
      </c>
      <c r="Q302" s="36" t="str">
        <f aca="false">IF(A302="","",IF(P302-L302=M302,"OK","Divergente"))</f>
        <v/>
      </c>
    </row>
    <row r="303" customFormat="false" ht="15" hidden="false" customHeight="false" outlineLevel="0" collapsed="false">
      <c r="N303" s="34" t="str">
        <f aca="false">IF(D303="","",DATE(YEAR(D303),MONTH(D303),1))</f>
        <v/>
      </c>
      <c r="O303" s="35" t="str">
        <f aca="false">IF(A303="","",IF(ISNUMBER(I303),I303,0))</f>
        <v/>
      </c>
      <c r="P303" s="35" t="str">
        <f aca="false">IF(A303="","",F303+O303+K303)</f>
        <v/>
      </c>
      <c r="Q303" s="36" t="str">
        <f aca="false">IF(A303="","",IF(P303-L303=M303,"OK","Divergente"))</f>
        <v/>
      </c>
    </row>
    <row r="304" customFormat="false" ht="15" hidden="false" customHeight="false" outlineLevel="0" collapsed="false">
      <c r="N304" s="34" t="str">
        <f aca="false">IF(D304="","",DATE(YEAR(D304),MONTH(D304),1))</f>
        <v/>
      </c>
      <c r="O304" s="35" t="str">
        <f aca="false">IF(A304="","",IF(ISNUMBER(I304),I304,0))</f>
        <v/>
      </c>
      <c r="P304" s="35" t="str">
        <f aca="false">IF(A304="","",F304+O304+K304)</f>
        <v/>
      </c>
      <c r="Q304" s="36" t="str">
        <f aca="false">IF(A304="","",IF(P304-L304=M304,"OK","Divergente"))</f>
        <v/>
      </c>
    </row>
    <row r="305" customFormat="false" ht="15" hidden="false" customHeight="false" outlineLevel="0" collapsed="false">
      <c r="N305" s="34" t="str">
        <f aca="false">IF(D305="","",DATE(YEAR(D305),MONTH(D305),1))</f>
        <v/>
      </c>
      <c r="O305" s="35" t="str">
        <f aca="false">IF(A305="","",IF(ISNUMBER(I305),I305,0))</f>
        <v/>
      </c>
      <c r="P305" s="35" t="str">
        <f aca="false">IF(A305="","",F305+O305+K305)</f>
        <v/>
      </c>
      <c r="Q305" s="36" t="str">
        <f aca="false">IF(A305="","",IF(P305-L305=M305,"OK","Divergente"))</f>
        <v/>
      </c>
    </row>
    <row r="306" customFormat="false" ht="15" hidden="false" customHeight="false" outlineLevel="0" collapsed="false">
      <c r="N306" s="34" t="str">
        <f aca="false">IF(D306="","",DATE(YEAR(D306),MONTH(D306),1))</f>
        <v/>
      </c>
      <c r="O306" s="35" t="str">
        <f aca="false">IF(A306="","",IF(ISNUMBER(I306),I306,0))</f>
        <v/>
      </c>
      <c r="P306" s="35" t="str">
        <f aca="false">IF(A306="","",F306+O306+K306)</f>
        <v/>
      </c>
      <c r="Q306" s="36" t="str">
        <f aca="false">IF(A306="","",IF(P306-L306=M306,"OK","Divergente"))</f>
        <v/>
      </c>
    </row>
    <row r="307" customFormat="false" ht="15" hidden="false" customHeight="false" outlineLevel="0" collapsed="false">
      <c r="N307" s="34" t="str">
        <f aca="false">IF(D307="","",DATE(YEAR(D307),MONTH(D307),1))</f>
        <v/>
      </c>
      <c r="O307" s="35" t="str">
        <f aca="false">IF(A307="","",IF(ISNUMBER(I307),I307,0))</f>
        <v/>
      </c>
      <c r="P307" s="35" t="str">
        <f aca="false">IF(A307="","",F307+O307+K307)</f>
        <v/>
      </c>
      <c r="Q307" s="36" t="str">
        <f aca="false">IF(A307="","",IF(P307-L307=M307,"OK","Divergente"))</f>
        <v/>
      </c>
    </row>
    <row r="308" customFormat="false" ht="15" hidden="false" customHeight="false" outlineLevel="0" collapsed="false">
      <c r="N308" s="34" t="str">
        <f aca="false">IF(D308="","",DATE(YEAR(D308),MONTH(D308),1))</f>
        <v/>
      </c>
      <c r="O308" s="35" t="str">
        <f aca="false">IF(A308="","",IF(ISNUMBER(I308),I308,0))</f>
        <v/>
      </c>
      <c r="P308" s="35" t="str">
        <f aca="false">IF(A308="","",F308+O308+K308)</f>
        <v/>
      </c>
      <c r="Q308" s="36" t="str">
        <f aca="false">IF(A308="","",IF(P308-L308=M308,"OK","Divergente"))</f>
        <v/>
      </c>
    </row>
    <row r="309" customFormat="false" ht="15" hidden="false" customHeight="false" outlineLevel="0" collapsed="false">
      <c r="N309" s="34" t="str">
        <f aca="false">IF(D309="","",DATE(YEAR(D309),MONTH(D309),1))</f>
        <v/>
      </c>
      <c r="O309" s="35" t="str">
        <f aca="false">IF(A309="","",IF(ISNUMBER(I309),I309,0))</f>
        <v/>
      </c>
      <c r="P309" s="35" t="str">
        <f aca="false">IF(A309="","",F309+O309+K309)</f>
        <v/>
      </c>
      <c r="Q309" s="36" t="str">
        <f aca="false">IF(A309="","",IF(P309-L309=M309,"OK","Divergente"))</f>
        <v/>
      </c>
    </row>
    <row r="310" customFormat="false" ht="15" hidden="false" customHeight="false" outlineLevel="0" collapsed="false">
      <c r="N310" s="34" t="str">
        <f aca="false">IF(D310="","",DATE(YEAR(D310),MONTH(D310),1))</f>
        <v/>
      </c>
      <c r="O310" s="35" t="str">
        <f aca="false">IF(A310="","",IF(ISNUMBER(I310),I310,0))</f>
        <v/>
      </c>
      <c r="P310" s="35" t="str">
        <f aca="false">IF(A310="","",F310+O310+K310)</f>
        <v/>
      </c>
      <c r="Q310" s="36" t="str">
        <f aca="false">IF(A310="","",IF(P310-L310=M310,"OK","Divergente"))</f>
        <v/>
      </c>
    </row>
    <row r="311" customFormat="false" ht="15" hidden="false" customHeight="false" outlineLevel="0" collapsed="false">
      <c r="N311" s="34" t="str">
        <f aca="false">IF(D311="","",DATE(YEAR(D311),MONTH(D311),1))</f>
        <v/>
      </c>
      <c r="O311" s="35" t="str">
        <f aca="false">IF(A311="","",IF(ISNUMBER(I311),I311,0))</f>
        <v/>
      </c>
      <c r="P311" s="35" t="str">
        <f aca="false">IF(A311="","",F311+O311+K311)</f>
        <v/>
      </c>
      <c r="Q311" s="36" t="str">
        <f aca="false">IF(A311="","",IF(P311-L311=M311,"OK","Divergente"))</f>
        <v/>
      </c>
    </row>
    <row r="312" customFormat="false" ht="15" hidden="false" customHeight="false" outlineLevel="0" collapsed="false">
      <c r="N312" s="34" t="str">
        <f aca="false">IF(D312="","",DATE(YEAR(D312),MONTH(D312),1))</f>
        <v/>
      </c>
      <c r="O312" s="35" t="str">
        <f aca="false">IF(A312="","",IF(ISNUMBER(I312),I312,0))</f>
        <v/>
      </c>
      <c r="P312" s="35" t="str">
        <f aca="false">IF(A312="","",F312+O312+K312)</f>
        <v/>
      </c>
      <c r="Q312" s="36" t="str">
        <f aca="false">IF(A312="","",IF(P312-L312=M312,"OK","Divergente"))</f>
        <v/>
      </c>
    </row>
    <row r="313" customFormat="false" ht="15" hidden="false" customHeight="false" outlineLevel="0" collapsed="false">
      <c r="N313" s="34" t="str">
        <f aca="false">IF(D313="","",DATE(YEAR(D313),MONTH(D313),1))</f>
        <v/>
      </c>
      <c r="O313" s="35" t="str">
        <f aca="false">IF(A313="","",IF(ISNUMBER(I313),I313,0))</f>
        <v/>
      </c>
      <c r="P313" s="35" t="str">
        <f aca="false">IF(A313="","",F313+O313+K313)</f>
        <v/>
      </c>
      <c r="Q313" s="36" t="str">
        <f aca="false">IF(A313="","",IF(P313-L313=M313,"OK","Divergente"))</f>
        <v/>
      </c>
    </row>
    <row r="314" customFormat="false" ht="15" hidden="false" customHeight="false" outlineLevel="0" collapsed="false">
      <c r="N314" s="34" t="str">
        <f aca="false">IF(D314="","",DATE(YEAR(D314),MONTH(D314),1))</f>
        <v/>
      </c>
      <c r="O314" s="35" t="str">
        <f aca="false">IF(A314="","",IF(ISNUMBER(I314),I314,0))</f>
        <v/>
      </c>
      <c r="P314" s="35" t="str">
        <f aca="false">IF(A314="","",F314+O314+K314)</f>
        <v/>
      </c>
      <c r="Q314" s="36" t="str">
        <f aca="false">IF(A314="","",IF(P314-L314=M314,"OK","Divergente"))</f>
        <v/>
      </c>
    </row>
    <row r="315" customFormat="false" ht="15" hidden="false" customHeight="false" outlineLevel="0" collapsed="false">
      <c r="N315" s="34" t="str">
        <f aca="false">IF(D315="","",DATE(YEAR(D315),MONTH(D315),1))</f>
        <v/>
      </c>
      <c r="O315" s="35" t="str">
        <f aca="false">IF(A315="","",IF(ISNUMBER(I315),I315,0))</f>
        <v/>
      </c>
      <c r="P315" s="35" t="str">
        <f aca="false">IF(A315="","",F315+O315+K315)</f>
        <v/>
      </c>
      <c r="Q315" s="36" t="str">
        <f aca="false">IF(A315="","",IF(P315-L315=M315,"OK","Divergente"))</f>
        <v/>
      </c>
    </row>
    <row r="316" customFormat="false" ht="15" hidden="false" customHeight="false" outlineLevel="0" collapsed="false">
      <c r="N316" s="34" t="str">
        <f aca="false">IF(D316="","",DATE(YEAR(D316),MONTH(D316),1))</f>
        <v/>
      </c>
      <c r="O316" s="35" t="str">
        <f aca="false">IF(A316="","",IF(ISNUMBER(I316),I316,0))</f>
        <v/>
      </c>
      <c r="P316" s="35" t="str">
        <f aca="false">IF(A316="","",F316+O316+K316)</f>
        <v/>
      </c>
      <c r="Q316" s="36" t="str">
        <f aca="false">IF(A316="","",IF(P316-L316=M316,"OK","Divergente"))</f>
        <v/>
      </c>
    </row>
    <row r="317" customFormat="false" ht="15" hidden="false" customHeight="false" outlineLevel="0" collapsed="false">
      <c r="N317" s="34" t="str">
        <f aca="false">IF(D317="","",DATE(YEAR(D317),MONTH(D317),1))</f>
        <v/>
      </c>
      <c r="O317" s="35" t="str">
        <f aca="false">IF(A317="","",IF(ISNUMBER(I317),I317,0))</f>
        <v/>
      </c>
      <c r="P317" s="35" t="str">
        <f aca="false">IF(A317="","",F317+O317+K317)</f>
        <v/>
      </c>
      <c r="Q317" s="36" t="str">
        <f aca="false">IF(A317="","",IF(P317-L317=M317,"OK","Divergente"))</f>
        <v/>
      </c>
    </row>
    <row r="318" customFormat="false" ht="15" hidden="false" customHeight="false" outlineLevel="0" collapsed="false">
      <c r="N318" s="34" t="str">
        <f aca="false">IF(D318="","",DATE(YEAR(D318),MONTH(D318),1))</f>
        <v/>
      </c>
      <c r="O318" s="35" t="str">
        <f aca="false">IF(A318="","",IF(ISNUMBER(I318),I318,0))</f>
        <v/>
      </c>
      <c r="P318" s="35" t="str">
        <f aca="false">IF(A318="","",F318+O318+K318)</f>
        <v/>
      </c>
      <c r="Q318" s="36" t="str">
        <f aca="false">IF(A318="","",IF(P318-L318=M318,"OK","Divergente"))</f>
        <v/>
      </c>
    </row>
    <row r="319" customFormat="false" ht="15" hidden="false" customHeight="false" outlineLevel="0" collapsed="false">
      <c r="N319" s="34" t="str">
        <f aca="false">IF(D319="","",DATE(YEAR(D319),MONTH(D319),1))</f>
        <v/>
      </c>
      <c r="O319" s="35" t="str">
        <f aca="false">IF(A319="","",IF(ISNUMBER(I319),I319,0))</f>
        <v/>
      </c>
      <c r="P319" s="35" t="str">
        <f aca="false">IF(A319="","",F319+O319+K319)</f>
        <v/>
      </c>
      <c r="Q319" s="36" t="str">
        <f aca="false">IF(A319="","",IF(P319-L319=M319,"OK","Divergente"))</f>
        <v/>
      </c>
    </row>
    <row r="320" customFormat="false" ht="15" hidden="false" customHeight="false" outlineLevel="0" collapsed="false">
      <c r="N320" s="34" t="str">
        <f aca="false">IF(D320="","",DATE(YEAR(D320),MONTH(D320),1))</f>
        <v/>
      </c>
      <c r="O320" s="35" t="str">
        <f aca="false">IF(A320="","",IF(ISNUMBER(I320),I320,0))</f>
        <v/>
      </c>
      <c r="P320" s="35" t="str">
        <f aca="false">IF(A320="","",F320+O320+K320)</f>
        <v/>
      </c>
      <c r="Q320" s="36" t="str">
        <f aca="false">IF(A320="","",IF(P320-L320=M320,"OK","Divergente"))</f>
        <v/>
      </c>
    </row>
    <row r="321" customFormat="false" ht="15" hidden="false" customHeight="false" outlineLevel="0" collapsed="false">
      <c r="N321" s="34" t="str">
        <f aca="false">IF(D321="","",DATE(YEAR(D321),MONTH(D321),1))</f>
        <v/>
      </c>
      <c r="O321" s="35" t="str">
        <f aca="false">IF(A321="","",IF(ISNUMBER(I321),I321,0))</f>
        <v/>
      </c>
      <c r="P321" s="35" t="str">
        <f aca="false">IF(A321="","",F321+O321+K321)</f>
        <v/>
      </c>
      <c r="Q321" s="36" t="str">
        <f aca="false">IF(A321="","",IF(P321-L321=M321,"OK","Divergente"))</f>
        <v/>
      </c>
    </row>
    <row r="322" customFormat="false" ht="15" hidden="false" customHeight="false" outlineLevel="0" collapsed="false">
      <c r="N322" s="34" t="str">
        <f aca="false">IF(D322="","",DATE(YEAR(D322),MONTH(D322),1))</f>
        <v/>
      </c>
      <c r="O322" s="35" t="str">
        <f aca="false">IF(A322="","",IF(ISNUMBER(I322),I322,0))</f>
        <v/>
      </c>
      <c r="P322" s="35" t="str">
        <f aca="false">IF(A322="","",F322+O322+K322)</f>
        <v/>
      </c>
      <c r="Q322" s="36" t="str">
        <f aca="false">IF(A322="","",IF(P322-L322=M322,"OK","Divergente"))</f>
        <v/>
      </c>
    </row>
    <row r="323" customFormat="false" ht="15" hidden="false" customHeight="false" outlineLevel="0" collapsed="false">
      <c r="N323" s="34" t="str">
        <f aca="false">IF(D323="","",DATE(YEAR(D323),MONTH(D323),1))</f>
        <v/>
      </c>
      <c r="O323" s="35" t="str">
        <f aca="false">IF(A323="","",IF(ISNUMBER(I323),I323,0))</f>
        <v/>
      </c>
      <c r="P323" s="35" t="str">
        <f aca="false">IF(A323="","",F323+O323+K323)</f>
        <v/>
      </c>
      <c r="Q323" s="36" t="str">
        <f aca="false">IF(A323="","",IF(P323-L323=M323,"OK","Divergente"))</f>
        <v/>
      </c>
    </row>
    <row r="324" customFormat="false" ht="15" hidden="false" customHeight="false" outlineLevel="0" collapsed="false">
      <c r="N324" s="34" t="str">
        <f aca="false">IF(D324="","",DATE(YEAR(D324),MONTH(D324),1))</f>
        <v/>
      </c>
      <c r="O324" s="35" t="str">
        <f aca="false">IF(A324="","",IF(ISNUMBER(I324),I324,0))</f>
        <v/>
      </c>
      <c r="P324" s="35" t="str">
        <f aca="false">IF(A324="","",F324+O324+K324)</f>
        <v/>
      </c>
      <c r="Q324" s="36" t="str">
        <f aca="false">IF(A324="","",IF(P324-L324=M324,"OK","Divergente"))</f>
        <v/>
      </c>
    </row>
    <row r="325" customFormat="false" ht="15" hidden="false" customHeight="false" outlineLevel="0" collapsed="false">
      <c r="N325" s="34" t="str">
        <f aca="false">IF(D325="","",DATE(YEAR(D325),MONTH(D325),1))</f>
        <v/>
      </c>
      <c r="O325" s="35" t="str">
        <f aca="false">IF(A325="","",IF(ISNUMBER(I325),I325,0))</f>
        <v/>
      </c>
      <c r="P325" s="35" t="str">
        <f aca="false">IF(A325="","",F325+O325+K325)</f>
        <v/>
      </c>
      <c r="Q325" s="36" t="str">
        <f aca="false">IF(A325="","",IF(P325-L325=M325,"OK","Divergente"))</f>
        <v/>
      </c>
    </row>
    <row r="326" customFormat="false" ht="15" hidden="false" customHeight="false" outlineLevel="0" collapsed="false">
      <c r="N326" s="34" t="str">
        <f aca="false">IF(D326="","",DATE(YEAR(D326),MONTH(D326),1))</f>
        <v/>
      </c>
      <c r="O326" s="35" t="str">
        <f aca="false">IF(A326="","",IF(ISNUMBER(I326),I326,0))</f>
        <v/>
      </c>
      <c r="P326" s="35" t="str">
        <f aca="false">IF(A326="","",F326+O326+K326)</f>
        <v/>
      </c>
      <c r="Q326" s="36" t="str">
        <f aca="false">IF(A326="","",IF(P326-L326=M326,"OK","Divergente"))</f>
        <v/>
      </c>
    </row>
    <row r="327" customFormat="false" ht="15" hidden="false" customHeight="false" outlineLevel="0" collapsed="false">
      <c r="N327" s="34" t="str">
        <f aca="false">IF(D327="","",DATE(YEAR(D327),MONTH(D327),1))</f>
        <v/>
      </c>
      <c r="O327" s="35" t="str">
        <f aca="false">IF(A327="","",IF(ISNUMBER(I327),I327,0))</f>
        <v/>
      </c>
      <c r="P327" s="35" t="str">
        <f aca="false">IF(A327="","",F327+O327+K327)</f>
        <v/>
      </c>
      <c r="Q327" s="36" t="str">
        <f aca="false">IF(A327="","",IF(P327-L327=M327,"OK","Divergente"))</f>
        <v/>
      </c>
    </row>
    <row r="328" customFormat="false" ht="15" hidden="false" customHeight="false" outlineLevel="0" collapsed="false">
      <c r="N328" s="34" t="str">
        <f aca="false">IF(D328="","",DATE(YEAR(D328),MONTH(D328),1))</f>
        <v/>
      </c>
      <c r="O328" s="35" t="str">
        <f aca="false">IF(A328="","",IF(ISNUMBER(I328),I328,0))</f>
        <v/>
      </c>
      <c r="P328" s="35" t="str">
        <f aca="false">IF(A328="","",F328+O328+K328)</f>
        <v/>
      </c>
      <c r="Q328" s="36" t="str">
        <f aca="false">IF(A328="","",IF(P328-L328=M328,"OK","Divergente"))</f>
        <v/>
      </c>
    </row>
    <row r="329" customFormat="false" ht="15" hidden="false" customHeight="false" outlineLevel="0" collapsed="false">
      <c r="N329" s="34" t="str">
        <f aca="false">IF(D329="","",DATE(YEAR(D329),MONTH(D329),1))</f>
        <v/>
      </c>
      <c r="O329" s="35" t="str">
        <f aca="false">IF(A329="","",IF(ISNUMBER(I329),I329,0))</f>
        <v/>
      </c>
      <c r="P329" s="35" t="str">
        <f aca="false">IF(A329="","",F329+O329+K329)</f>
        <v/>
      </c>
      <c r="Q329" s="36" t="str">
        <f aca="false">IF(A329="","",IF(P329-L329=M329,"OK","Divergente"))</f>
        <v/>
      </c>
    </row>
    <row r="330" customFormat="false" ht="15" hidden="false" customHeight="false" outlineLevel="0" collapsed="false">
      <c r="N330" s="34" t="str">
        <f aca="false">IF(D330="","",DATE(YEAR(D330),MONTH(D330),1))</f>
        <v/>
      </c>
      <c r="O330" s="35" t="str">
        <f aca="false">IF(A330="","",IF(ISNUMBER(I330),I330,0))</f>
        <v/>
      </c>
      <c r="P330" s="35" t="str">
        <f aca="false">IF(A330="","",F330+O330+K330)</f>
        <v/>
      </c>
      <c r="Q330" s="36" t="str">
        <f aca="false">IF(A330="","",IF(P330-L330=M330,"OK","Divergente"))</f>
        <v/>
      </c>
    </row>
    <row r="331" customFormat="false" ht="15" hidden="false" customHeight="false" outlineLevel="0" collapsed="false">
      <c r="N331" s="34" t="str">
        <f aca="false">IF(D331="","",DATE(YEAR(D331),MONTH(D331),1))</f>
        <v/>
      </c>
      <c r="O331" s="35" t="str">
        <f aca="false">IF(A331="","",IF(ISNUMBER(I331),I331,0))</f>
        <v/>
      </c>
      <c r="P331" s="35" t="str">
        <f aca="false">IF(A331="","",F331+O331+K331)</f>
        <v/>
      </c>
      <c r="Q331" s="36" t="str">
        <f aca="false">IF(A331="","",IF(P331-L331=M331,"OK","Divergente"))</f>
        <v/>
      </c>
    </row>
    <row r="332" customFormat="false" ht="15" hidden="false" customHeight="false" outlineLevel="0" collapsed="false">
      <c r="N332" s="34" t="str">
        <f aca="false">IF(D332="","",DATE(YEAR(D332),MONTH(D332),1))</f>
        <v/>
      </c>
      <c r="O332" s="35" t="str">
        <f aca="false">IF(A332="","",IF(ISNUMBER(I332),I332,0))</f>
        <v/>
      </c>
      <c r="P332" s="35" t="str">
        <f aca="false">IF(A332="","",F332+O332+K332)</f>
        <v/>
      </c>
      <c r="Q332" s="36" t="str">
        <f aca="false">IF(A332="","",IF(P332-L332=M332,"OK","Divergente"))</f>
        <v/>
      </c>
    </row>
    <row r="333" customFormat="false" ht="15" hidden="false" customHeight="false" outlineLevel="0" collapsed="false">
      <c r="N333" s="34" t="str">
        <f aca="false">IF(D333="","",DATE(YEAR(D333),MONTH(D333),1))</f>
        <v/>
      </c>
      <c r="O333" s="35" t="str">
        <f aca="false">IF(A333="","",IF(ISNUMBER(I333),I333,0))</f>
        <v/>
      </c>
      <c r="P333" s="35" t="str">
        <f aca="false">IF(A333="","",F333+O333+K333)</f>
        <v/>
      </c>
      <c r="Q333" s="36" t="str">
        <f aca="false">IF(A333="","",IF(P333-L333=M333,"OK","Divergente"))</f>
        <v/>
      </c>
    </row>
    <row r="334" customFormat="false" ht="15" hidden="false" customHeight="false" outlineLevel="0" collapsed="false">
      <c r="N334" s="34" t="str">
        <f aca="false">IF(D334="","",DATE(YEAR(D334),MONTH(D334),1))</f>
        <v/>
      </c>
      <c r="O334" s="35" t="str">
        <f aca="false">IF(A334="","",IF(ISNUMBER(I334),I334,0))</f>
        <v/>
      </c>
      <c r="P334" s="35" t="str">
        <f aca="false">IF(A334="","",F334+O334+K334)</f>
        <v/>
      </c>
      <c r="Q334" s="36" t="str">
        <f aca="false">IF(A334="","",IF(P334-L334=M334,"OK","Divergente"))</f>
        <v/>
      </c>
    </row>
    <row r="335" customFormat="false" ht="15" hidden="false" customHeight="false" outlineLevel="0" collapsed="false">
      <c r="N335" s="34" t="str">
        <f aca="false">IF(D335="","",DATE(YEAR(D335),MONTH(D335),1))</f>
        <v/>
      </c>
      <c r="O335" s="35" t="str">
        <f aca="false">IF(A335="","",IF(ISNUMBER(I335),I335,0))</f>
        <v/>
      </c>
      <c r="P335" s="35" t="str">
        <f aca="false">IF(A335="","",F335+O335+K335)</f>
        <v/>
      </c>
      <c r="Q335" s="36" t="str">
        <f aca="false">IF(A335="","",IF(P335-L335=M335,"OK","Divergente"))</f>
        <v/>
      </c>
    </row>
    <row r="336" customFormat="false" ht="15" hidden="false" customHeight="false" outlineLevel="0" collapsed="false">
      <c r="N336" s="34" t="str">
        <f aca="false">IF(D336="","",DATE(YEAR(D336),MONTH(D336),1))</f>
        <v/>
      </c>
      <c r="O336" s="35" t="str">
        <f aca="false">IF(A336="","",IF(ISNUMBER(I336),I336,0))</f>
        <v/>
      </c>
      <c r="P336" s="35" t="str">
        <f aca="false">IF(A336="","",F336+O336+K336)</f>
        <v/>
      </c>
      <c r="Q336" s="36" t="str">
        <f aca="false">IF(A336="","",IF(P336-L336=M336,"OK","Divergente"))</f>
        <v/>
      </c>
    </row>
    <row r="337" customFormat="false" ht="15" hidden="false" customHeight="false" outlineLevel="0" collapsed="false">
      <c r="N337" s="34" t="str">
        <f aca="false">IF(D337="","",DATE(YEAR(D337),MONTH(D337),1))</f>
        <v/>
      </c>
      <c r="O337" s="35" t="str">
        <f aca="false">IF(A337="","",IF(ISNUMBER(I337),I337,0))</f>
        <v/>
      </c>
      <c r="P337" s="35" t="str">
        <f aca="false">IF(A337="","",F337+O337+K337)</f>
        <v/>
      </c>
      <c r="Q337" s="36" t="str">
        <f aca="false">IF(A337="","",IF(P337-L337=M337,"OK","Divergente"))</f>
        <v/>
      </c>
    </row>
    <row r="338" customFormat="false" ht="15" hidden="false" customHeight="false" outlineLevel="0" collapsed="false">
      <c r="N338" s="34" t="str">
        <f aca="false">IF(D338="","",DATE(YEAR(D338),MONTH(D338),1))</f>
        <v/>
      </c>
      <c r="O338" s="35" t="str">
        <f aca="false">IF(A338="","",IF(ISNUMBER(I338),I338,0))</f>
        <v/>
      </c>
      <c r="P338" s="35" t="str">
        <f aca="false">IF(A338="","",F338+O338+K338)</f>
        <v/>
      </c>
      <c r="Q338" s="36" t="str">
        <f aca="false">IF(A338="","",IF(P338-L338=M338,"OK","Divergente"))</f>
        <v/>
      </c>
    </row>
    <row r="339" customFormat="false" ht="15" hidden="false" customHeight="false" outlineLevel="0" collapsed="false">
      <c r="N339" s="34" t="str">
        <f aca="false">IF(D339="","",DATE(YEAR(D339),MONTH(D339),1))</f>
        <v/>
      </c>
      <c r="O339" s="35" t="str">
        <f aca="false">IF(A339="","",IF(ISNUMBER(I339),I339,0))</f>
        <v/>
      </c>
      <c r="P339" s="35" t="str">
        <f aca="false">IF(A339="","",F339+O339+K339)</f>
        <v/>
      </c>
      <c r="Q339" s="36" t="str">
        <f aca="false">IF(A339="","",IF(P339-L339=M339,"OK","Divergente"))</f>
        <v/>
      </c>
    </row>
    <row r="340" customFormat="false" ht="15" hidden="false" customHeight="false" outlineLevel="0" collapsed="false">
      <c r="N340" s="34" t="str">
        <f aca="false">IF(D340="","",DATE(YEAR(D340),MONTH(D340),1))</f>
        <v/>
      </c>
      <c r="O340" s="35" t="str">
        <f aca="false">IF(A340="","",IF(ISNUMBER(I340),I340,0))</f>
        <v/>
      </c>
      <c r="P340" s="35" t="str">
        <f aca="false">IF(A340="","",F340+O340+K340)</f>
        <v/>
      </c>
      <c r="Q340" s="36" t="str">
        <f aca="false">IF(A340="","",IF(P340-L340=M340,"OK","Divergente"))</f>
        <v/>
      </c>
    </row>
    <row r="341" customFormat="false" ht="15" hidden="false" customHeight="false" outlineLevel="0" collapsed="false">
      <c r="N341" s="34" t="str">
        <f aca="false">IF(D341="","",DATE(YEAR(D341),MONTH(D341),1))</f>
        <v/>
      </c>
      <c r="O341" s="35" t="str">
        <f aca="false">IF(A341="","",IF(ISNUMBER(I341),I341,0))</f>
        <v/>
      </c>
      <c r="P341" s="35" t="str">
        <f aca="false">IF(A341="","",F341+O341+K341)</f>
        <v/>
      </c>
      <c r="Q341" s="36" t="str">
        <f aca="false">IF(A341="","",IF(P341-L341=M341,"OK","Divergente"))</f>
        <v/>
      </c>
    </row>
    <row r="342" customFormat="false" ht="15" hidden="false" customHeight="false" outlineLevel="0" collapsed="false">
      <c r="N342" s="34" t="str">
        <f aca="false">IF(D342="","",DATE(YEAR(D342),MONTH(D342),1))</f>
        <v/>
      </c>
      <c r="O342" s="35" t="str">
        <f aca="false">IF(A342="","",IF(ISNUMBER(I342),I342,0))</f>
        <v/>
      </c>
      <c r="P342" s="35" t="str">
        <f aca="false">IF(A342="","",F342+O342+K342)</f>
        <v/>
      </c>
      <c r="Q342" s="36" t="str">
        <f aca="false">IF(A342="","",IF(P342-L342=M342,"OK","Divergente"))</f>
        <v/>
      </c>
    </row>
    <row r="343" customFormat="false" ht="15" hidden="false" customHeight="false" outlineLevel="0" collapsed="false">
      <c r="N343" s="34" t="str">
        <f aca="false">IF(D343="","",DATE(YEAR(D343),MONTH(D343),1))</f>
        <v/>
      </c>
      <c r="O343" s="35" t="str">
        <f aca="false">IF(A343="","",IF(ISNUMBER(I343),I343,0))</f>
        <v/>
      </c>
      <c r="P343" s="35" t="str">
        <f aca="false">IF(A343="","",F343+O343+K343)</f>
        <v/>
      </c>
      <c r="Q343" s="36" t="str">
        <f aca="false">IF(A343="","",IF(P343-L343=M343,"OK","Divergente"))</f>
        <v/>
      </c>
    </row>
    <row r="344" customFormat="false" ht="15" hidden="false" customHeight="false" outlineLevel="0" collapsed="false">
      <c r="N344" s="34" t="str">
        <f aca="false">IF(D344="","",DATE(YEAR(D344),MONTH(D344),1))</f>
        <v/>
      </c>
      <c r="O344" s="35" t="str">
        <f aca="false">IF(A344="","",IF(ISNUMBER(I344),I344,0))</f>
        <v/>
      </c>
      <c r="P344" s="35" t="str">
        <f aca="false">IF(A344="","",F344+O344+K344)</f>
        <v/>
      </c>
      <c r="Q344" s="36" t="str">
        <f aca="false">IF(A344="","",IF(P344-L344=M344,"OK","Divergente"))</f>
        <v/>
      </c>
    </row>
    <row r="345" customFormat="false" ht="15" hidden="false" customHeight="false" outlineLevel="0" collapsed="false">
      <c r="N345" s="34" t="str">
        <f aca="false">IF(D345="","",DATE(YEAR(D345),MONTH(D345),1))</f>
        <v/>
      </c>
      <c r="O345" s="35" t="str">
        <f aca="false">IF(A345="","",IF(ISNUMBER(I345),I345,0))</f>
        <v/>
      </c>
      <c r="P345" s="35" t="str">
        <f aca="false">IF(A345="","",F345+O345+K345)</f>
        <v/>
      </c>
      <c r="Q345" s="36" t="str">
        <f aca="false">IF(A345="","",IF(P345-L345=M345,"OK","Divergente"))</f>
        <v/>
      </c>
    </row>
    <row r="346" customFormat="false" ht="15" hidden="false" customHeight="false" outlineLevel="0" collapsed="false">
      <c r="N346" s="34" t="str">
        <f aca="false">IF(D346="","",DATE(YEAR(D346),MONTH(D346),1))</f>
        <v/>
      </c>
      <c r="O346" s="35" t="str">
        <f aca="false">IF(A346="","",IF(ISNUMBER(I346),I346,0))</f>
        <v/>
      </c>
      <c r="P346" s="35" t="str">
        <f aca="false">IF(A346="","",F346+O346+K346)</f>
        <v/>
      </c>
      <c r="Q346" s="36" t="str">
        <f aca="false">IF(A346="","",IF(P346-L346=M346,"OK","Divergente"))</f>
        <v/>
      </c>
    </row>
    <row r="347" customFormat="false" ht="15" hidden="false" customHeight="false" outlineLevel="0" collapsed="false">
      <c r="N347" s="34" t="str">
        <f aca="false">IF(D347="","",DATE(YEAR(D347),MONTH(D347),1))</f>
        <v/>
      </c>
      <c r="O347" s="35" t="str">
        <f aca="false">IF(A347="","",IF(ISNUMBER(I347),I347,0))</f>
        <v/>
      </c>
      <c r="P347" s="35" t="str">
        <f aca="false">IF(A347="","",F347+O347+K347)</f>
        <v/>
      </c>
      <c r="Q347" s="36" t="str">
        <f aca="false">IF(A347="","",IF(P347-L347=M347,"OK","Divergente"))</f>
        <v/>
      </c>
    </row>
    <row r="348" customFormat="false" ht="15" hidden="false" customHeight="false" outlineLevel="0" collapsed="false">
      <c r="N348" s="34" t="str">
        <f aca="false">IF(D348="","",DATE(YEAR(D348),MONTH(D348),1))</f>
        <v/>
      </c>
      <c r="O348" s="35" t="str">
        <f aca="false">IF(A348="","",IF(ISNUMBER(I348),I348,0))</f>
        <v/>
      </c>
      <c r="P348" s="35" t="str">
        <f aca="false">IF(A348="","",F348+O348+K348)</f>
        <v/>
      </c>
      <c r="Q348" s="36" t="str">
        <f aca="false">IF(A348="","",IF(P348-L348=M348,"OK","Divergente"))</f>
        <v/>
      </c>
    </row>
    <row r="349" customFormat="false" ht="15" hidden="false" customHeight="false" outlineLevel="0" collapsed="false">
      <c r="N349" s="34" t="str">
        <f aca="false">IF(D349="","",DATE(YEAR(D349),MONTH(D349),1))</f>
        <v/>
      </c>
      <c r="O349" s="35" t="str">
        <f aca="false">IF(A349="","",IF(ISNUMBER(I349),I349,0))</f>
        <v/>
      </c>
      <c r="P349" s="35" t="str">
        <f aca="false">IF(A349="","",F349+O349+K349)</f>
        <v/>
      </c>
      <c r="Q349" s="36" t="str">
        <f aca="false">IF(A349="","",IF(P349-L349=M349,"OK","Divergente"))</f>
        <v/>
      </c>
    </row>
    <row r="350" customFormat="false" ht="15" hidden="false" customHeight="false" outlineLevel="0" collapsed="false">
      <c r="N350" s="34" t="str">
        <f aca="false">IF(D350="","",DATE(YEAR(D350),MONTH(D350),1))</f>
        <v/>
      </c>
      <c r="O350" s="35" t="str">
        <f aca="false">IF(A350="","",IF(ISNUMBER(I350),I350,0))</f>
        <v/>
      </c>
      <c r="P350" s="35" t="str">
        <f aca="false">IF(A350="","",F350+O350+K350)</f>
        <v/>
      </c>
      <c r="Q350" s="36" t="str">
        <f aca="false">IF(A350="","",IF(P350-L350=M350,"OK","Divergente"))</f>
        <v/>
      </c>
    </row>
    <row r="351" customFormat="false" ht="15" hidden="false" customHeight="false" outlineLevel="0" collapsed="false">
      <c r="N351" s="34" t="str">
        <f aca="false">IF(D351="","",DATE(YEAR(D351),MONTH(D351),1))</f>
        <v/>
      </c>
      <c r="O351" s="35" t="str">
        <f aca="false">IF(A351="","",IF(ISNUMBER(I351),I351,0))</f>
        <v/>
      </c>
      <c r="P351" s="35" t="str">
        <f aca="false">IF(A351="","",F351+O351+K351)</f>
        <v/>
      </c>
      <c r="Q351" s="36" t="str">
        <f aca="false">IF(A351="","",IF(P351-L351=M351,"OK","Divergente"))</f>
        <v/>
      </c>
    </row>
    <row r="352" customFormat="false" ht="15" hidden="false" customHeight="false" outlineLevel="0" collapsed="false">
      <c r="N352" s="34" t="str">
        <f aca="false">IF(D352="","",DATE(YEAR(D352),MONTH(D352),1))</f>
        <v/>
      </c>
      <c r="O352" s="35" t="str">
        <f aca="false">IF(A352="","",IF(ISNUMBER(I352),I352,0))</f>
        <v/>
      </c>
      <c r="P352" s="35" t="str">
        <f aca="false">IF(A352="","",F352+O352+K352)</f>
        <v/>
      </c>
      <c r="Q352" s="36" t="str">
        <f aca="false">IF(A352="","",IF(P352-L352=M352,"OK","Divergente"))</f>
        <v/>
      </c>
    </row>
    <row r="353" customFormat="false" ht="15" hidden="false" customHeight="false" outlineLevel="0" collapsed="false">
      <c r="N353" s="34" t="str">
        <f aca="false">IF(D353="","",DATE(YEAR(D353),MONTH(D353),1))</f>
        <v/>
      </c>
      <c r="O353" s="35" t="str">
        <f aca="false">IF(A353="","",IF(ISNUMBER(I353),I353,0))</f>
        <v/>
      </c>
      <c r="P353" s="35" t="str">
        <f aca="false">IF(A353="","",F353+O353+K353)</f>
        <v/>
      </c>
      <c r="Q353" s="36" t="str">
        <f aca="false">IF(A353="","",IF(P353-L353=M353,"OK","Divergente"))</f>
        <v/>
      </c>
    </row>
    <row r="354" customFormat="false" ht="15" hidden="false" customHeight="false" outlineLevel="0" collapsed="false">
      <c r="N354" s="34" t="str">
        <f aca="false">IF(D354="","",DATE(YEAR(D354),MONTH(D354),1))</f>
        <v/>
      </c>
      <c r="O354" s="35" t="str">
        <f aca="false">IF(A354="","",IF(ISNUMBER(I354),I354,0))</f>
        <v/>
      </c>
      <c r="P354" s="35" t="str">
        <f aca="false">IF(A354="","",F354+O354+K354)</f>
        <v/>
      </c>
      <c r="Q354" s="36" t="str">
        <f aca="false">IF(A354="","",IF(P354-L354=M354,"OK","Divergente"))</f>
        <v/>
      </c>
    </row>
    <row r="355" customFormat="false" ht="15" hidden="false" customHeight="false" outlineLevel="0" collapsed="false">
      <c r="N355" s="34" t="str">
        <f aca="false">IF(D355="","",DATE(YEAR(D355),MONTH(D355),1))</f>
        <v/>
      </c>
      <c r="O355" s="35" t="str">
        <f aca="false">IF(A355="","",IF(ISNUMBER(I355),I355,0))</f>
        <v/>
      </c>
      <c r="P355" s="35" t="str">
        <f aca="false">IF(A355="","",F355+O355+K355)</f>
        <v/>
      </c>
      <c r="Q355" s="36" t="str">
        <f aca="false">IF(A355="","",IF(P355-L355=M355,"OK","Divergente"))</f>
        <v/>
      </c>
    </row>
    <row r="356" customFormat="false" ht="15" hidden="false" customHeight="false" outlineLevel="0" collapsed="false">
      <c r="N356" s="34" t="str">
        <f aca="false">IF(D356="","",DATE(YEAR(D356),MONTH(D356),1))</f>
        <v/>
      </c>
      <c r="O356" s="35" t="str">
        <f aca="false">IF(A356="","",IF(ISNUMBER(I356),I356,0))</f>
        <v/>
      </c>
      <c r="P356" s="35" t="str">
        <f aca="false">IF(A356="","",F356+O356+K356)</f>
        <v/>
      </c>
      <c r="Q356" s="36" t="str">
        <f aca="false">IF(A356="","",IF(P356-L356=M356,"OK","Divergente"))</f>
        <v/>
      </c>
    </row>
    <row r="357" customFormat="false" ht="15" hidden="false" customHeight="false" outlineLevel="0" collapsed="false">
      <c r="N357" s="34" t="str">
        <f aca="false">IF(D357="","",DATE(YEAR(D357),MONTH(D357),1))</f>
        <v/>
      </c>
      <c r="O357" s="35" t="str">
        <f aca="false">IF(A357="","",IF(ISNUMBER(I357),I357,0))</f>
        <v/>
      </c>
      <c r="P357" s="35" t="str">
        <f aca="false">IF(A357="","",F357+O357+K357)</f>
        <v/>
      </c>
      <c r="Q357" s="36" t="str">
        <f aca="false">IF(A357="","",IF(P357-L357=M357,"OK","Divergente"))</f>
        <v/>
      </c>
    </row>
    <row r="358" customFormat="false" ht="15" hidden="false" customHeight="false" outlineLevel="0" collapsed="false">
      <c r="N358" s="34" t="str">
        <f aca="false">IF(D358="","",DATE(YEAR(D358),MONTH(D358),1))</f>
        <v/>
      </c>
      <c r="O358" s="35" t="str">
        <f aca="false">IF(A358="","",IF(ISNUMBER(I358),I358,0))</f>
        <v/>
      </c>
      <c r="P358" s="35" t="str">
        <f aca="false">IF(A358="","",F358+O358+K358)</f>
        <v/>
      </c>
      <c r="Q358" s="36" t="str">
        <f aca="false">IF(A358="","",IF(P358-L358=M358,"OK","Divergente"))</f>
        <v/>
      </c>
    </row>
    <row r="359" customFormat="false" ht="15" hidden="false" customHeight="false" outlineLevel="0" collapsed="false">
      <c r="N359" s="34" t="str">
        <f aca="false">IF(D359="","",DATE(YEAR(D359),MONTH(D359),1))</f>
        <v/>
      </c>
      <c r="O359" s="35" t="str">
        <f aca="false">IF(A359="","",IF(ISNUMBER(I359),I359,0))</f>
        <v/>
      </c>
      <c r="P359" s="35" t="str">
        <f aca="false">IF(A359="","",F359+O359+K359)</f>
        <v/>
      </c>
      <c r="Q359" s="36" t="str">
        <f aca="false">IF(A359="","",IF(P359-L359=M359,"OK","Divergente"))</f>
        <v/>
      </c>
    </row>
    <row r="360" customFormat="false" ht="15" hidden="false" customHeight="false" outlineLevel="0" collapsed="false">
      <c r="N360" s="34" t="str">
        <f aca="false">IF(D360="","",DATE(YEAR(D360),MONTH(D360),1))</f>
        <v/>
      </c>
      <c r="O360" s="35" t="str">
        <f aca="false">IF(A360="","",IF(ISNUMBER(I360),I360,0))</f>
        <v/>
      </c>
      <c r="P360" s="35" t="str">
        <f aca="false">IF(A360="","",F360+O360+K360)</f>
        <v/>
      </c>
      <c r="Q360" s="36" t="str">
        <f aca="false">IF(A360="","",IF(P360-L360=M360,"OK","Divergente"))</f>
        <v/>
      </c>
    </row>
    <row r="361" customFormat="false" ht="15" hidden="false" customHeight="false" outlineLevel="0" collapsed="false">
      <c r="N361" s="34" t="str">
        <f aca="false">IF(D361="","",DATE(YEAR(D361),MONTH(D361),1))</f>
        <v/>
      </c>
      <c r="O361" s="35" t="str">
        <f aca="false">IF(A361="","",IF(ISNUMBER(I361),I361,0))</f>
        <v/>
      </c>
      <c r="P361" s="35" t="str">
        <f aca="false">IF(A361="","",F361+O361+K361)</f>
        <v/>
      </c>
      <c r="Q361" s="36" t="str">
        <f aca="false">IF(A361="","",IF(P361-L361=M361,"OK","Divergente"))</f>
        <v/>
      </c>
    </row>
    <row r="362" customFormat="false" ht="15" hidden="false" customHeight="false" outlineLevel="0" collapsed="false">
      <c r="N362" s="34" t="str">
        <f aca="false">IF(D362="","",DATE(YEAR(D362),MONTH(D362),1))</f>
        <v/>
      </c>
      <c r="O362" s="35" t="str">
        <f aca="false">IF(A362="","",IF(ISNUMBER(I362),I362,0))</f>
        <v/>
      </c>
      <c r="P362" s="35" t="str">
        <f aca="false">IF(A362="","",F362+O362+K362)</f>
        <v/>
      </c>
      <c r="Q362" s="36" t="str">
        <f aca="false">IF(A362="","",IF(P362-L362=M362,"OK","Divergente"))</f>
        <v/>
      </c>
    </row>
    <row r="363" customFormat="false" ht="15" hidden="false" customHeight="false" outlineLevel="0" collapsed="false">
      <c r="N363" s="34" t="str">
        <f aca="false">IF(D363="","",DATE(YEAR(D363),MONTH(D363),1))</f>
        <v/>
      </c>
      <c r="O363" s="35" t="str">
        <f aca="false">IF(A363="","",IF(ISNUMBER(I363),I363,0))</f>
        <v/>
      </c>
      <c r="P363" s="35" t="str">
        <f aca="false">IF(A363="","",F363+O363+K363)</f>
        <v/>
      </c>
      <c r="Q363" s="36" t="str">
        <f aca="false">IF(A363="","",IF(P363-L363=M363,"OK","Divergente"))</f>
        <v/>
      </c>
    </row>
    <row r="364" customFormat="false" ht="15" hidden="false" customHeight="false" outlineLevel="0" collapsed="false">
      <c r="N364" s="34" t="str">
        <f aca="false">IF(D364="","",DATE(YEAR(D364),MONTH(D364),1))</f>
        <v/>
      </c>
      <c r="O364" s="35" t="str">
        <f aca="false">IF(A364="","",IF(ISNUMBER(I364),I364,0))</f>
        <v/>
      </c>
      <c r="P364" s="35" t="str">
        <f aca="false">IF(A364="","",F364+O364+K364)</f>
        <v/>
      </c>
      <c r="Q364" s="36" t="str">
        <f aca="false">IF(A364="","",IF(P364-L364=M364,"OK","Divergente"))</f>
        <v/>
      </c>
    </row>
    <row r="365" customFormat="false" ht="15" hidden="false" customHeight="false" outlineLevel="0" collapsed="false">
      <c r="N365" s="34" t="str">
        <f aca="false">IF(D365="","",DATE(YEAR(D365),MONTH(D365),1))</f>
        <v/>
      </c>
      <c r="O365" s="35" t="str">
        <f aca="false">IF(A365="","",IF(ISNUMBER(I365),I365,0))</f>
        <v/>
      </c>
      <c r="P365" s="35" t="str">
        <f aca="false">IF(A365="","",F365+O365+K365)</f>
        <v/>
      </c>
      <c r="Q365" s="36" t="str">
        <f aca="false">IF(A365="","",IF(P365-L365=M365,"OK","Divergente"))</f>
        <v/>
      </c>
    </row>
    <row r="366" customFormat="false" ht="15" hidden="false" customHeight="false" outlineLevel="0" collapsed="false">
      <c r="N366" s="34" t="str">
        <f aca="false">IF(D366="","",DATE(YEAR(D366),MONTH(D366),1))</f>
        <v/>
      </c>
      <c r="O366" s="35" t="str">
        <f aca="false">IF(A366="","",IF(ISNUMBER(I366),I366,0))</f>
        <v/>
      </c>
      <c r="P366" s="35" t="str">
        <f aca="false">IF(A366="","",F366+O366+K366)</f>
        <v/>
      </c>
      <c r="Q366" s="36" t="str">
        <f aca="false">IF(A366="","",IF(P366-L366=M366,"OK","Divergente"))</f>
        <v/>
      </c>
    </row>
    <row r="367" customFormat="false" ht="15" hidden="false" customHeight="false" outlineLevel="0" collapsed="false">
      <c r="N367" s="34" t="str">
        <f aca="false">IF(D367="","",DATE(YEAR(D367),MONTH(D367),1))</f>
        <v/>
      </c>
      <c r="O367" s="35" t="str">
        <f aca="false">IF(A367="","",IF(ISNUMBER(I367),I367,0))</f>
        <v/>
      </c>
      <c r="P367" s="35" t="str">
        <f aca="false">IF(A367="","",F367+O367+K367)</f>
        <v/>
      </c>
      <c r="Q367" s="36" t="str">
        <f aca="false">IF(A367="","",IF(P367-L367=M367,"OK","Divergente"))</f>
        <v/>
      </c>
    </row>
    <row r="368" customFormat="false" ht="15" hidden="false" customHeight="false" outlineLevel="0" collapsed="false">
      <c r="N368" s="34" t="str">
        <f aca="false">IF(D368="","",DATE(YEAR(D368),MONTH(D368),1))</f>
        <v/>
      </c>
      <c r="O368" s="35" t="str">
        <f aca="false">IF(A368="","",IF(ISNUMBER(I368),I368,0))</f>
        <v/>
      </c>
      <c r="P368" s="35" t="str">
        <f aca="false">IF(A368="","",F368+O368+K368)</f>
        <v/>
      </c>
      <c r="Q368" s="36" t="str">
        <f aca="false">IF(A368="","",IF(P368-L368=M368,"OK","Divergente"))</f>
        <v/>
      </c>
    </row>
    <row r="369" customFormat="false" ht="15" hidden="false" customHeight="false" outlineLevel="0" collapsed="false">
      <c r="N369" s="34" t="str">
        <f aca="false">IF(D369="","",DATE(YEAR(D369),MONTH(D369),1))</f>
        <v/>
      </c>
      <c r="O369" s="35" t="str">
        <f aca="false">IF(A369="","",IF(ISNUMBER(I369),I369,0))</f>
        <v/>
      </c>
      <c r="P369" s="35" t="str">
        <f aca="false">IF(A369="","",F369+O369+K369)</f>
        <v/>
      </c>
      <c r="Q369" s="36" t="str">
        <f aca="false">IF(A369="","",IF(P369-L369=M369,"OK","Divergente"))</f>
        <v/>
      </c>
    </row>
    <row r="370" customFormat="false" ht="15" hidden="false" customHeight="false" outlineLevel="0" collapsed="false">
      <c r="N370" s="34" t="str">
        <f aca="false">IF(D370="","",DATE(YEAR(D370),MONTH(D370),1))</f>
        <v/>
      </c>
      <c r="O370" s="35" t="str">
        <f aca="false">IF(A370="","",IF(ISNUMBER(I370),I370,0))</f>
        <v/>
      </c>
      <c r="P370" s="35" t="str">
        <f aca="false">IF(A370="","",F370+O370+K370)</f>
        <v/>
      </c>
      <c r="Q370" s="36" t="str">
        <f aca="false">IF(A370="","",IF(P370-L370=M370,"OK","Divergente"))</f>
        <v/>
      </c>
    </row>
    <row r="371" customFormat="false" ht="15" hidden="false" customHeight="false" outlineLevel="0" collapsed="false">
      <c r="N371" s="34" t="str">
        <f aca="false">IF(D371="","",DATE(YEAR(D371),MONTH(D371),1))</f>
        <v/>
      </c>
      <c r="O371" s="35" t="str">
        <f aca="false">IF(A371="","",IF(ISNUMBER(I371),I371,0))</f>
        <v/>
      </c>
      <c r="P371" s="35" t="str">
        <f aca="false">IF(A371="","",F371+O371+K371)</f>
        <v/>
      </c>
      <c r="Q371" s="36" t="str">
        <f aca="false">IF(A371="","",IF(P371-L371=M371,"OK","Divergente"))</f>
        <v/>
      </c>
    </row>
    <row r="372" customFormat="false" ht="15" hidden="false" customHeight="false" outlineLevel="0" collapsed="false">
      <c r="N372" s="34" t="str">
        <f aca="false">IF(D372="","",DATE(YEAR(D372),MONTH(D372),1))</f>
        <v/>
      </c>
      <c r="O372" s="35" t="str">
        <f aca="false">IF(A372="","",IF(ISNUMBER(I372),I372,0))</f>
        <v/>
      </c>
      <c r="P372" s="35" t="str">
        <f aca="false">IF(A372="","",F372+O372+K372)</f>
        <v/>
      </c>
      <c r="Q372" s="36" t="str">
        <f aca="false">IF(A372="","",IF(P372-L372=M372,"OK","Divergente"))</f>
        <v/>
      </c>
    </row>
    <row r="373" customFormat="false" ht="15" hidden="false" customHeight="false" outlineLevel="0" collapsed="false">
      <c r="N373" s="34" t="str">
        <f aca="false">IF(D373="","",DATE(YEAR(D373),MONTH(D373),1))</f>
        <v/>
      </c>
      <c r="O373" s="35" t="str">
        <f aca="false">IF(A373="","",IF(ISNUMBER(I373),I373,0))</f>
        <v/>
      </c>
      <c r="P373" s="35" t="str">
        <f aca="false">IF(A373="","",F373+O373+K373)</f>
        <v/>
      </c>
      <c r="Q373" s="36" t="str">
        <f aca="false">IF(A373="","",IF(P373-L373=M373,"OK","Divergente"))</f>
        <v/>
      </c>
    </row>
    <row r="374" customFormat="false" ht="15" hidden="false" customHeight="false" outlineLevel="0" collapsed="false">
      <c r="N374" s="34" t="str">
        <f aca="false">IF(D374="","",DATE(YEAR(D374),MONTH(D374),1))</f>
        <v/>
      </c>
      <c r="O374" s="35" t="str">
        <f aca="false">IF(A374="","",IF(ISNUMBER(I374),I374,0))</f>
        <v/>
      </c>
      <c r="P374" s="35" t="str">
        <f aca="false">IF(A374="","",F374+O374+K374)</f>
        <v/>
      </c>
      <c r="Q374" s="36" t="str">
        <f aca="false">IF(A374="","",IF(P374-L374=M374,"OK","Divergente"))</f>
        <v/>
      </c>
    </row>
    <row r="375" customFormat="false" ht="15" hidden="false" customHeight="false" outlineLevel="0" collapsed="false">
      <c r="N375" s="34" t="str">
        <f aca="false">IF(D375="","",DATE(YEAR(D375),MONTH(D375),1))</f>
        <v/>
      </c>
      <c r="O375" s="35" t="str">
        <f aca="false">IF(A375="","",IF(ISNUMBER(I375),I375,0))</f>
        <v/>
      </c>
      <c r="P375" s="35" t="str">
        <f aca="false">IF(A375="","",F375+O375+K375)</f>
        <v/>
      </c>
      <c r="Q375" s="36" t="str">
        <f aca="false">IF(A375="","",IF(P375-L375=M375,"OK","Divergente"))</f>
        <v/>
      </c>
    </row>
    <row r="376" customFormat="false" ht="15" hidden="false" customHeight="false" outlineLevel="0" collapsed="false">
      <c r="N376" s="34" t="str">
        <f aca="false">IF(D376="","",DATE(YEAR(D376),MONTH(D376),1))</f>
        <v/>
      </c>
      <c r="O376" s="35" t="str">
        <f aca="false">IF(A376="","",IF(ISNUMBER(I376),I376,0))</f>
        <v/>
      </c>
      <c r="P376" s="35" t="str">
        <f aca="false">IF(A376="","",F376+O376+K376)</f>
        <v/>
      </c>
      <c r="Q376" s="36" t="str">
        <f aca="false">IF(A376="","",IF(P376-L376=M376,"OK","Divergente"))</f>
        <v/>
      </c>
    </row>
    <row r="377" customFormat="false" ht="15" hidden="false" customHeight="false" outlineLevel="0" collapsed="false">
      <c r="N377" s="34" t="str">
        <f aca="false">IF(D377="","",DATE(YEAR(D377),MONTH(D377),1))</f>
        <v/>
      </c>
      <c r="O377" s="35" t="str">
        <f aca="false">IF(A377="","",IF(ISNUMBER(I377),I377,0))</f>
        <v/>
      </c>
      <c r="P377" s="35" t="str">
        <f aca="false">IF(A377="","",F377+O377+K377)</f>
        <v/>
      </c>
      <c r="Q377" s="36" t="str">
        <f aca="false">IF(A377="","",IF(P377-L377=M377,"OK","Divergente"))</f>
        <v/>
      </c>
    </row>
    <row r="378" customFormat="false" ht="15" hidden="false" customHeight="false" outlineLevel="0" collapsed="false">
      <c r="N378" s="34" t="str">
        <f aca="false">IF(D378="","",DATE(YEAR(D378),MONTH(D378),1))</f>
        <v/>
      </c>
      <c r="O378" s="35" t="str">
        <f aca="false">IF(A378="","",IF(ISNUMBER(I378),I378,0))</f>
        <v/>
      </c>
      <c r="P378" s="35" t="str">
        <f aca="false">IF(A378="","",F378+O378+K378)</f>
        <v/>
      </c>
      <c r="Q378" s="36" t="str">
        <f aca="false">IF(A378="","",IF(P378-L378=M378,"OK","Divergente"))</f>
        <v/>
      </c>
    </row>
    <row r="379" customFormat="false" ht="15" hidden="false" customHeight="false" outlineLevel="0" collapsed="false">
      <c r="N379" s="34" t="str">
        <f aca="false">IF(D379="","",DATE(YEAR(D379),MONTH(D379),1))</f>
        <v/>
      </c>
      <c r="O379" s="35" t="str">
        <f aca="false">IF(A379="","",IF(ISNUMBER(I379),I379,0))</f>
        <v/>
      </c>
      <c r="P379" s="35" t="str">
        <f aca="false">IF(A379="","",F379+O379+K379)</f>
        <v/>
      </c>
      <c r="Q379" s="36" t="str">
        <f aca="false">IF(A379="","",IF(P379-L379=M379,"OK","Divergente"))</f>
        <v/>
      </c>
    </row>
    <row r="380" customFormat="false" ht="15" hidden="false" customHeight="false" outlineLevel="0" collapsed="false">
      <c r="N380" s="34" t="str">
        <f aca="false">IF(D380="","",DATE(YEAR(D380),MONTH(D380),1))</f>
        <v/>
      </c>
      <c r="O380" s="35" t="str">
        <f aca="false">IF(A380="","",IF(ISNUMBER(I380),I380,0))</f>
        <v/>
      </c>
      <c r="P380" s="35" t="str">
        <f aca="false">IF(A380="","",F380+O380+K380)</f>
        <v/>
      </c>
      <c r="Q380" s="36" t="str">
        <f aca="false">IF(A380="","",IF(P380-L380=M380,"OK","Divergente"))</f>
        <v/>
      </c>
    </row>
    <row r="381" customFormat="false" ht="15" hidden="false" customHeight="false" outlineLevel="0" collapsed="false">
      <c r="N381" s="34" t="str">
        <f aca="false">IF(D381="","",DATE(YEAR(D381),MONTH(D381),1))</f>
        <v/>
      </c>
      <c r="O381" s="35" t="str">
        <f aca="false">IF(A381="","",IF(ISNUMBER(I381),I381,0))</f>
        <v/>
      </c>
      <c r="P381" s="35" t="str">
        <f aca="false">IF(A381="","",F381+O381+K381)</f>
        <v/>
      </c>
      <c r="Q381" s="36" t="str">
        <f aca="false">IF(A381="","",IF(P381-L381=M381,"OK","Divergente"))</f>
        <v/>
      </c>
    </row>
    <row r="382" customFormat="false" ht="15" hidden="false" customHeight="false" outlineLevel="0" collapsed="false">
      <c r="N382" s="34" t="str">
        <f aca="false">IF(D382="","",DATE(YEAR(D382),MONTH(D382),1))</f>
        <v/>
      </c>
      <c r="O382" s="35" t="str">
        <f aca="false">IF(A382="","",IF(ISNUMBER(I382),I382,0))</f>
        <v/>
      </c>
      <c r="P382" s="35" t="str">
        <f aca="false">IF(A382="","",F382+O382+K382)</f>
        <v/>
      </c>
      <c r="Q382" s="36" t="str">
        <f aca="false">IF(A382="","",IF(P382-L382=M382,"OK","Divergente"))</f>
        <v/>
      </c>
    </row>
    <row r="383" customFormat="false" ht="15" hidden="false" customHeight="false" outlineLevel="0" collapsed="false">
      <c r="N383" s="34" t="str">
        <f aca="false">IF(D383="","",DATE(YEAR(D383),MONTH(D383),1))</f>
        <v/>
      </c>
      <c r="O383" s="35" t="str">
        <f aca="false">IF(A383="","",IF(ISNUMBER(I383),I383,0))</f>
        <v/>
      </c>
      <c r="P383" s="35" t="str">
        <f aca="false">IF(A383="","",F383+O383+K383)</f>
        <v/>
      </c>
      <c r="Q383" s="36" t="str">
        <f aca="false">IF(A383="","",IF(P383-L383=M383,"OK","Divergente"))</f>
        <v/>
      </c>
    </row>
    <row r="384" customFormat="false" ht="15" hidden="false" customHeight="false" outlineLevel="0" collapsed="false">
      <c r="N384" s="34" t="str">
        <f aca="false">IF(D384="","",DATE(YEAR(D384),MONTH(D384),1))</f>
        <v/>
      </c>
      <c r="O384" s="35" t="str">
        <f aca="false">IF(A384="","",IF(ISNUMBER(I384),I384,0))</f>
        <v/>
      </c>
      <c r="P384" s="35" t="str">
        <f aca="false">IF(A384="","",F384+O384+K384)</f>
        <v/>
      </c>
      <c r="Q384" s="36" t="str">
        <f aca="false">IF(A384="","",IF(P384-L384=M384,"OK","Divergente"))</f>
        <v/>
      </c>
    </row>
    <row r="385" customFormat="false" ht="15" hidden="false" customHeight="false" outlineLevel="0" collapsed="false">
      <c r="N385" s="34" t="str">
        <f aca="false">IF(D385="","",DATE(YEAR(D385),MONTH(D385),1))</f>
        <v/>
      </c>
      <c r="O385" s="35" t="str">
        <f aca="false">IF(A385="","",IF(ISNUMBER(I385),I385,0))</f>
        <v/>
      </c>
      <c r="P385" s="35" t="str">
        <f aca="false">IF(A385="","",F385+O385+K385)</f>
        <v/>
      </c>
      <c r="Q385" s="36" t="str">
        <f aca="false">IF(A385="","",IF(P385-L385=M385,"OK","Divergente"))</f>
        <v/>
      </c>
    </row>
    <row r="386" customFormat="false" ht="15" hidden="false" customHeight="false" outlineLevel="0" collapsed="false">
      <c r="N386" s="34" t="str">
        <f aca="false">IF(D386="","",DATE(YEAR(D386),MONTH(D386),1))</f>
        <v/>
      </c>
      <c r="O386" s="35" t="str">
        <f aca="false">IF(A386="","",IF(ISNUMBER(I386),I386,0))</f>
        <v/>
      </c>
      <c r="P386" s="35" t="str">
        <f aca="false">IF(A386="","",F386+O386+K386)</f>
        <v/>
      </c>
      <c r="Q386" s="36" t="str">
        <f aca="false">IF(A386="","",IF(P386-L386=M386,"OK","Divergente"))</f>
        <v/>
      </c>
    </row>
    <row r="387" customFormat="false" ht="15" hidden="false" customHeight="false" outlineLevel="0" collapsed="false">
      <c r="N387" s="34" t="str">
        <f aca="false">IF(D387="","",DATE(YEAR(D387),MONTH(D387),1))</f>
        <v/>
      </c>
      <c r="O387" s="35" t="str">
        <f aca="false">IF(A387="","",IF(ISNUMBER(I387),I387,0))</f>
        <v/>
      </c>
      <c r="P387" s="35" t="str">
        <f aca="false">IF(A387="","",F387+O387+K387)</f>
        <v/>
      </c>
      <c r="Q387" s="36" t="str">
        <f aca="false">IF(A387="","",IF(P387-L387=M387,"OK","Divergente"))</f>
        <v/>
      </c>
    </row>
    <row r="388" customFormat="false" ht="15" hidden="false" customHeight="false" outlineLevel="0" collapsed="false">
      <c r="N388" s="34" t="str">
        <f aca="false">IF(D388="","",DATE(YEAR(D388),MONTH(D388),1))</f>
        <v/>
      </c>
      <c r="O388" s="35" t="str">
        <f aca="false">IF(A388="","",IF(ISNUMBER(I388),I388,0))</f>
        <v/>
      </c>
      <c r="P388" s="35" t="str">
        <f aca="false">IF(A388="","",F388+O388+K388)</f>
        <v/>
      </c>
      <c r="Q388" s="36" t="str">
        <f aca="false">IF(A388="","",IF(P388-L388=M388,"OK","Divergente"))</f>
        <v/>
      </c>
    </row>
    <row r="389" customFormat="false" ht="15" hidden="false" customHeight="false" outlineLevel="0" collapsed="false">
      <c r="N389" s="34" t="str">
        <f aca="false">IF(D389="","",DATE(YEAR(D389),MONTH(D389),1))</f>
        <v/>
      </c>
      <c r="O389" s="35" t="str">
        <f aca="false">IF(A389="","",IF(ISNUMBER(I389),I389,0))</f>
        <v/>
      </c>
      <c r="P389" s="35" t="str">
        <f aca="false">IF(A389="","",F389+O389+K389)</f>
        <v/>
      </c>
      <c r="Q389" s="36" t="str">
        <f aca="false">IF(A389="","",IF(P389-L389=M389,"OK","Divergente"))</f>
        <v/>
      </c>
    </row>
    <row r="390" customFormat="false" ht="15" hidden="false" customHeight="false" outlineLevel="0" collapsed="false">
      <c r="N390" s="34" t="str">
        <f aca="false">IF(D390="","",DATE(YEAR(D390),MONTH(D390),1))</f>
        <v/>
      </c>
      <c r="O390" s="35" t="str">
        <f aca="false">IF(A390="","",IF(ISNUMBER(I390),I390,0))</f>
        <v/>
      </c>
      <c r="P390" s="35" t="str">
        <f aca="false">IF(A390="","",F390+O390+K390)</f>
        <v/>
      </c>
      <c r="Q390" s="36" t="str">
        <f aca="false">IF(A390="","",IF(P390-L390=M390,"OK","Divergente"))</f>
        <v/>
      </c>
    </row>
    <row r="391" customFormat="false" ht="15" hidden="false" customHeight="false" outlineLevel="0" collapsed="false">
      <c r="N391" s="34" t="str">
        <f aca="false">IF(D391="","",DATE(YEAR(D391),MONTH(D391),1))</f>
        <v/>
      </c>
      <c r="O391" s="35" t="str">
        <f aca="false">IF(A391="","",IF(ISNUMBER(I391),I391,0))</f>
        <v/>
      </c>
      <c r="P391" s="35" t="str">
        <f aca="false">IF(A391="","",F391+O391+K391)</f>
        <v/>
      </c>
      <c r="Q391" s="36" t="str">
        <f aca="false">IF(A391="","",IF(P391-L391=M391,"OK","Divergente"))</f>
        <v/>
      </c>
    </row>
    <row r="392" customFormat="false" ht="15" hidden="false" customHeight="false" outlineLevel="0" collapsed="false">
      <c r="N392" s="34" t="str">
        <f aca="false">IF(D392="","",DATE(YEAR(D392),MONTH(D392),1))</f>
        <v/>
      </c>
      <c r="O392" s="35" t="str">
        <f aca="false">IF(A392="","",IF(ISNUMBER(I392),I392,0))</f>
        <v/>
      </c>
      <c r="P392" s="35" t="str">
        <f aca="false">IF(A392="","",F392+O392+K392)</f>
        <v/>
      </c>
      <c r="Q392" s="36" t="str">
        <f aca="false">IF(A392="","",IF(P392-L392=M392,"OK","Divergente"))</f>
        <v/>
      </c>
    </row>
    <row r="393" customFormat="false" ht="15" hidden="false" customHeight="false" outlineLevel="0" collapsed="false">
      <c r="N393" s="34" t="str">
        <f aca="false">IF(D393="","",DATE(YEAR(D393),MONTH(D393),1))</f>
        <v/>
      </c>
      <c r="O393" s="35" t="str">
        <f aca="false">IF(A393="","",IF(ISNUMBER(I393),I393,0))</f>
        <v/>
      </c>
      <c r="P393" s="35" t="str">
        <f aca="false">IF(A393="","",F393+O393+K393)</f>
        <v/>
      </c>
      <c r="Q393" s="36" t="str">
        <f aca="false">IF(A393="","",IF(P393-L393=M393,"OK","Divergente"))</f>
        <v/>
      </c>
    </row>
    <row r="394" customFormat="false" ht="15" hidden="false" customHeight="false" outlineLevel="0" collapsed="false">
      <c r="N394" s="34" t="str">
        <f aca="false">IF(D394="","",DATE(YEAR(D394),MONTH(D394),1))</f>
        <v/>
      </c>
      <c r="O394" s="35" t="str">
        <f aca="false">IF(A394="","",IF(ISNUMBER(I394),I394,0))</f>
        <v/>
      </c>
      <c r="P394" s="35" t="str">
        <f aca="false">IF(A394="","",F394+O394+K394)</f>
        <v/>
      </c>
      <c r="Q394" s="36" t="str">
        <f aca="false">IF(A394="","",IF(P394-L394=M394,"OK","Divergente"))</f>
        <v/>
      </c>
    </row>
    <row r="395" customFormat="false" ht="15" hidden="false" customHeight="false" outlineLevel="0" collapsed="false">
      <c r="N395" s="34" t="str">
        <f aca="false">IF(D395="","",DATE(YEAR(D395),MONTH(D395),1))</f>
        <v/>
      </c>
      <c r="O395" s="35" t="str">
        <f aca="false">IF(A395="","",IF(ISNUMBER(I395),I395,0))</f>
        <v/>
      </c>
      <c r="P395" s="35" t="str">
        <f aca="false">IF(A395="","",F395+O395+K395)</f>
        <v/>
      </c>
      <c r="Q395" s="36" t="str">
        <f aca="false">IF(A395="","",IF(P395-L395=M395,"OK","Divergente"))</f>
        <v/>
      </c>
    </row>
    <row r="396" customFormat="false" ht="15" hidden="false" customHeight="false" outlineLevel="0" collapsed="false">
      <c r="N396" s="34" t="str">
        <f aca="false">IF(D396="","",DATE(YEAR(D396),MONTH(D396),1))</f>
        <v/>
      </c>
      <c r="O396" s="35" t="str">
        <f aca="false">IF(A396="","",IF(ISNUMBER(I396),I396,0))</f>
        <v/>
      </c>
      <c r="P396" s="35" t="str">
        <f aca="false">IF(A396="","",F396+O396+K396)</f>
        <v/>
      </c>
      <c r="Q396" s="36" t="str">
        <f aca="false">IF(A396="","",IF(P396-L396=M396,"OK","Divergente"))</f>
        <v/>
      </c>
    </row>
    <row r="397" customFormat="false" ht="15" hidden="false" customHeight="false" outlineLevel="0" collapsed="false">
      <c r="N397" s="34" t="str">
        <f aca="false">IF(D397="","",DATE(YEAR(D397),MONTH(D397),1))</f>
        <v/>
      </c>
      <c r="O397" s="35" t="str">
        <f aca="false">IF(A397="","",IF(ISNUMBER(I397),I397,0))</f>
        <v/>
      </c>
      <c r="P397" s="35" t="str">
        <f aca="false">IF(A397="","",F397+O397+K397)</f>
        <v/>
      </c>
      <c r="Q397" s="36" t="str">
        <f aca="false">IF(A397="","",IF(P397-L397=M397,"OK","Divergente"))</f>
        <v/>
      </c>
    </row>
    <row r="398" customFormat="false" ht="15" hidden="false" customHeight="false" outlineLevel="0" collapsed="false">
      <c r="N398" s="34" t="str">
        <f aca="false">IF(D398="","",DATE(YEAR(D398),MONTH(D398),1))</f>
        <v/>
      </c>
      <c r="O398" s="35" t="str">
        <f aca="false">IF(A398="","",IF(ISNUMBER(I398),I398,0))</f>
        <v/>
      </c>
      <c r="P398" s="35" t="str">
        <f aca="false">IF(A398="","",F398+O398+K398)</f>
        <v/>
      </c>
      <c r="Q398" s="36" t="str">
        <f aca="false">IF(A398="","",IF(P398-L398=M398,"OK","Divergente"))</f>
        <v/>
      </c>
    </row>
    <row r="399" customFormat="false" ht="15" hidden="false" customHeight="false" outlineLevel="0" collapsed="false">
      <c r="N399" s="34" t="str">
        <f aca="false">IF(D399="","",DATE(YEAR(D399),MONTH(D399),1))</f>
        <v/>
      </c>
      <c r="O399" s="35" t="str">
        <f aca="false">IF(A399="","",IF(ISNUMBER(I399),I399,0))</f>
        <v/>
      </c>
      <c r="P399" s="35" t="str">
        <f aca="false">IF(A399="","",F399+O399+K399)</f>
        <v/>
      </c>
      <c r="Q399" s="36" t="str">
        <f aca="false">IF(A399="","",IF(P399-L399=M399,"OK","Divergente"))</f>
        <v/>
      </c>
    </row>
    <row r="400" customFormat="false" ht="15" hidden="false" customHeight="false" outlineLevel="0" collapsed="false">
      <c r="N400" s="34" t="str">
        <f aca="false">IF(D400="","",DATE(YEAR(D400),MONTH(D400),1))</f>
        <v/>
      </c>
      <c r="O400" s="35" t="str">
        <f aca="false">IF(A400="","",IF(ISNUMBER(I400),I400,0))</f>
        <v/>
      </c>
      <c r="P400" s="35" t="str">
        <f aca="false">IF(A400="","",F400+O400+K400)</f>
        <v/>
      </c>
      <c r="Q400" s="36" t="str">
        <f aca="false">IF(A400="","",IF(P400-L400=M400,"OK","Divergente"))</f>
        <v/>
      </c>
    </row>
    <row r="401" customFormat="false" ht="15" hidden="false" customHeight="false" outlineLevel="0" collapsed="false">
      <c r="N401" s="34" t="str">
        <f aca="false">IF(D401="","",DATE(YEAR(D401),MONTH(D401),1))</f>
        <v/>
      </c>
      <c r="O401" s="35" t="str">
        <f aca="false">IF(A401="","",IF(ISNUMBER(I401),I401,0))</f>
        <v/>
      </c>
      <c r="P401" s="35" t="str">
        <f aca="false">IF(A401="","",F401+O401+K401)</f>
        <v/>
      </c>
      <c r="Q401" s="36" t="str">
        <f aca="false">IF(A401="","",IF(P401-L401=M401,"OK","Divergente"))</f>
        <v/>
      </c>
    </row>
    <row r="402" customFormat="false" ht="15" hidden="false" customHeight="false" outlineLevel="0" collapsed="false">
      <c r="N402" s="34" t="str">
        <f aca="false">IF(D402="","",DATE(YEAR(D402),MONTH(D402),1))</f>
        <v/>
      </c>
      <c r="O402" s="35" t="str">
        <f aca="false">IF(A402="","",IF(ISNUMBER(I402),I402,0))</f>
        <v/>
      </c>
      <c r="P402" s="35" t="str">
        <f aca="false">IF(A402="","",F402+O402+K402)</f>
        <v/>
      </c>
      <c r="Q402" s="36" t="str">
        <f aca="false">IF(A402="","",IF(P402-L402=M402,"OK","Divergente"))</f>
        <v/>
      </c>
    </row>
    <row r="403" customFormat="false" ht="15" hidden="false" customHeight="false" outlineLevel="0" collapsed="false">
      <c r="N403" s="34" t="str">
        <f aca="false">IF(D403="","",DATE(YEAR(D403),MONTH(D403),1))</f>
        <v/>
      </c>
      <c r="O403" s="35" t="str">
        <f aca="false">IF(A403="","",IF(ISNUMBER(I403),I403,0))</f>
        <v/>
      </c>
      <c r="P403" s="35" t="str">
        <f aca="false">IF(A403="","",F403+O403+K403)</f>
        <v/>
      </c>
      <c r="Q403" s="36" t="str">
        <f aca="false">IF(A403="","",IF(P403-L403=M403,"OK","Divergente"))</f>
        <v/>
      </c>
    </row>
    <row r="404" customFormat="false" ht="15" hidden="false" customHeight="false" outlineLevel="0" collapsed="false">
      <c r="N404" s="34" t="str">
        <f aca="false">IF(D404="","",DATE(YEAR(D404),MONTH(D404),1))</f>
        <v/>
      </c>
      <c r="O404" s="35" t="str">
        <f aca="false">IF(A404="","",IF(ISNUMBER(I404),I404,0))</f>
        <v/>
      </c>
      <c r="P404" s="35" t="str">
        <f aca="false">IF(A404="","",F404+O404+K404)</f>
        <v/>
      </c>
      <c r="Q404" s="36" t="str">
        <f aca="false">IF(A404="","",IF(P404-L404=M404,"OK","Divergente"))</f>
        <v/>
      </c>
    </row>
    <row r="405" customFormat="false" ht="15" hidden="false" customHeight="false" outlineLevel="0" collapsed="false">
      <c r="N405" s="34" t="str">
        <f aca="false">IF(D405="","",DATE(YEAR(D405),MONTH(D405),1))</f>
        <v/>
      </c>
      <c r="O405" s="35" t="str">
        <f aca="false">IF(A405="","",IF(ISNUMBER(I405),I405,0))</f>
        <v/>
      </c>
      <c r="P405" s="35" t="str">
        <f aca="false">IF(A405="","",F405+O405+K405)</f>
        <v/>
      </c>
      <c r="Q405" s="36" t="str">
        <f aca="false">IF(A405="","",IF(P405-L405=M405,"OK","Divergente"))</f>
        <v/>
      </c>
    </row>
    <row r="406" customFormat="false" ht="15" hidden="false" customHeight="false" outlineLevel="0" collapsed="false">
      <c r="N406" s="34" t="str">
        <f aca="false">IF(D406="","",DATE(YEAR(D406),MONTH(D406),1))</f>
        <v/>
      </c>
      <c r="O406" s="35" t="str">
        <f aca="false">IF(A406="","",IF(ISNUMBER(I406),I406,0))</f>
        <v/>
      </c>
      <c r="P406" s="35" t="str">
        <f aca="false">IF(A406="","",F406+O406+K406)</f>
        <v/>
      </c>
      <c r="Q406" s="36" t="str">
        <f aca="false">IF(A406="","",IF(P406-L406=M406,"OK","Divergente"))</f>
        <v/>
      </c>
    </row>
    <row r="407" customFormat="false" ht="15" hidden="false" customHeight="false" outlineLevel="0" collapsed="false">
      <c r="N407" s="34" t="str">
        <f aca="false">IF(D407="","",DATE(YEAR(D407),MONTH(D407),1))</f>
        <v/>
      </c>
      <c r="O407" s="35" t="str">
        <f aca="false">IF(A407="","",IF(ISNUMBER(I407),I407,0))</f>
        <v/>
      </c>
      <c r="P407" s="35" t="str">
        <f aca="false">IF(A407="","",F407+O407+K407)</f>
        <v/>
      </c>
      <c r="Q407" s="36" t="str">
        <f aca="false">IF(A407="","",IF(P407-L407=M407,"OK","Divergente"))</f>
        <v/>
      </c>
    </row>
    <row r="408" customFormat="false" ht="15" hidden="false" customHeight="false" outlineLevel="0" collapsed="false">
      <c r="N408" s="34" t="str">
        <f aca="false">IF(D408="","",DATE(YEAR(D408),MONTH(D408),1))</f>
        <v/>
      </c>
      <c r="O408" s="35" t="str">
        <f aca="false">IF(A408="","",IF(ISNUMBER(I408),I408,0))</f>
        <v/>
      </c>
      <c r="P408" s="35" t="str">
        <f aca="false">IF(A408="","",F408+O408+K408)</f>
        <v/>
      </c>
      <c r="Q408" s="36" t="str">
        <f aca="false">IF(A408="","",IF(P408-L408=M408,"OK","Divergente"))</f>
        <v/>
      </c>
    </row>
    <row r="409" customFormat="false" ht="15" hidden="false" customHeight="false" outlineLevel="0" collapsed="false">
      <c r="N409" s="34" t="str">
        <f aca="false">IF(D409="","",DATE(YEAR(D409),MONTH(D409),1))</f>
        <v/>
      </c>
      <c r="O409" s="35" t="str">
        <f aca="false">IF(A409="","",IF(ISNUMBER(I409),I409,0))</f>
        <v/>
      </c>
      <c r="P409" s="35" t="str">
        <f aca="false">IF(A409="","",F409+O409+K409)</f>
        <v/>
      </c>
      <c r="Q409" s="36" t="str">
        <f aca="false">IF(A409="","",IF(P409-L409=M409,"OK","Divergente"))</f>
        <v/>
      </c>
    </row>
    <row r="410" customFormat="false" ht="15" hidden="false" customHeight="false" outlineLevel="0" collapsed="false">
      <c r="N410" s="34" t="str">
        <f aca="false">IF(D410="","",DATE(YEAR(D410),MONTH(D410),1))</f>
        <v/>
      </c>
      <c r="O410" s="35" t="str">
        <f aca="false">IF(A410="","",IF(ISNUMBER(I410),I410,0))</f>
        <v/>
      </c>
      <c r="P410" s="35" t="str">
        <f aca="false">IF(A410="","",F410+O410+K410)</f>
        <v/>
      </c>
      <c r="Q410" s="36" t="str">
        <f aca="false">IF(A410="","",IF(P410-L410=M410,"OK","Divergente"))</f>
        <v/>
      </c>
    </row>
    <row r="411" customFormat="false" ht="15" hidden="false" customHeight="false" outlineLevel="0" collapsed="false">
      <c r="N411" s="34" t="str">
        <f aca="false">IF(D411="","",DATE(YEAR(D411),MONTH(D411),1))</f>
        <v/>
      </c>
      <c r="O411" s="35" t="str">
        <f aca="false">IF(A411="","",IF(ISNUMBER(I411),I411,0))</f>
        <v/>
      </c>
      <c r="P411" s="35" t="str">
        <f aca="false">IF(A411="","",F411+O411+K411)</f>
        <v/>
      </c>
      <c r="Q411" s="36" t="str">
        <f aca="false">IF(A411="","",IF(P411-L411=M411,"OK","Divergente"))</f>
        <v/>
      </c>
    </row>
    <row r="412" customFormat="false" ht="15" hidden="false" customHeight="false" outlineLevel="0" collapsed="false">
      <c r="N412" s="34" t="str">
        <f aca="false">IF(D412="","",DATE(YEAR(D412),MONTH(D412),1))</f>
        <v/>
      </c>
      <c r="O412" s="35" t="str">
        <f aca="false">IF(A412="","",IF(ISNUMBER(I412),I412,0))</f>
        <v/>
      </c>
      <c r="P412" s="35" t="str">
        <f aca="false">IF(A412="","",F412+O412+K412)</f>
        <v/>
      </c>
      <c r="Q412" s="36" t="str">
        <f aca="false">IF(A412="","",IF(P412-L412=M412,"OK","Divergente"))</f>
        <v/>
      </c>
    </row>
    <row r="413" customFormat="false" ht="15" hidden="false" customHeight="false" outlineLevel="0" collapsed="false">
      <c r="N413" s="34" t="str">
        <f aca="false">IF(D413="","",DATE(YEAR(D413),MONTH(D413),1))</f>
        <v/>
      </c>
      <c r="O413" s="35" t="str">
        <f aca="false">IF(A413="","",IF(ISNUMBER(I413),I413,0))</f>
        <v/>
      </c>
      <c r="P413" s="35" t="str">
        <f aca="false">IF(A413="","",F413+O413+K413)</f>
        <v/>
      </c>
      <c r="Q413" s="36" t="str">
        <f aca="false">IF(A413="","",IF(P413-L413=M413,"OK","Divergente"))</f>
        <v/>
      </c>
    </row>
    <row r="414" customFormat="false" ht="15" hidden="false" customHeight="false" outlineLevel="0" collapsed="false">
      <c r="N414" s="34" t="str">
        <f aca="false">IF(D414="","",DATE(YEAR(D414),MONTH(D414),1))</f>
        <v/>
      </c>
      <c r="O414" s="35" t="str">
        <f aca="false">IF(A414="","",IF(ISNUMBER(I414),I414,0))</f>
        <v/>
      </c>
      <c r="P414" s="35" t="str">
        <f aca="false">IF(A414="","",F414+O414+K414)</f>
        <v/>
      </c>
      <c r="Q414" s="36" t="str">
        <f aca="false">IF(A414="","",IF(P414-L414=M414,"OK","Divergente"))</f>
        <v/>
      </c>
    </row>
    <row r="415" customFormat="false" ht="15" hidden="false" customHeight="false" outlineLevel="0" collapsed="false">
      <c r="N415" s="34" t="str">
        <f aca="false">IF(D415="","",DATE(YEAR(D415),MONTH(D415),1))</f>
        <v/>
      </c>
      <c r="O415" s="35" t="str">
        <f aca="false">IF(A415="","",IF(ISNUMBER(I415),I415,0))</f>
        <v/>
      </c>
      <c r="P415" s="35" t="str">
        <f aca="false">IF(A415="","",F415+O415+K415)</f>
        <v/>
      </c>
      <c r="Q415" s="36" t="str">
        <f aca="false">IF(A415="","",IF(P415-L415=M415,"OK","Divergente"))</f>
        <v/>
      </c>
    </row>
    <row r="416" customFormat="false" ht="15" hidden="false" customHeight="false" outlineLevel="0" collapsed="false">
      <c r="N416" s="34" t="str">
        <f aca="false">IF(D416="","",DATE(YEAR(D416),MONTH(D416),1))</f>
        <v/>
      </c>
      <c r="O416" s="35" t="str">
        <f aca="false">IF(A416="","",IF(ISNUMBER(I416),I416,0))</f>
        <v/>
      </c>
      <c r="P416" s="35" t="str">
        <f aca="false">IF(A416="","",F416+O416+K416)</f>
        <v/>
      </c>
      <c r="Q416" s="36" t="str">
        <f aca="false">IF(A416="","",IF(P416-L416=M416,"OK","Divergente"))</f>
        <v/>
      </c>
    </row>
    <row r="417" customFormat="false" ht="15" hidden="false" customHeight="false" outlineLevel="0" collapsed="false">
      <c r="N417" s="34" t="str">
        <f aca="false">IF(D417="","",DATE(YEAR(D417),MONTH(D417),1))</f>
        <v/>
      </c>
      <c r="O417" s="35" t="str">
        <f aca="false">IF(A417="","",IF(ISNUMBER(I417),I417,0))</f>
        <v/>
      </c>
      <c r="P417" s="35" t="str">
        <f aca="false">IF(A417="","",F417+O417+K417)</f>
        <v/>
      </c>
      <c r="Q417" s="36" t="str">
        <f aca="false">IF(A417="","",IF(P417-L417=M417,"OK","Divergente"))</f>
        <v/>
      </c>
    </row>
    <row r="418" customFormat="false" ht="15" hidden="false" customHeight="false" outlineLevel="0" collapsed="false">
      <c r="N418" s="34" t="str">
        <f aca="false">IF(D418="","",DATE(YEAR(D418),MONTH(D418),1))</f>
        <v/>
      </c>
      <c r="O418" s="35" t="str">
        <f aca="false">IF(A418="","",IF(ISNUMBER(I418),I418,0))</f>
        <v/>
      </c>
      <c r="P418" s="35" t="str">
        <f aca="false">IF(A418="","",F418+O418+K418)</f>
        <v/>
      </c>
      <c r="Q418" s="36" t="str">
        <f aca="false">IF(A418="","",IF(P418-L418=M418,"OK","Divergente"))</f>
        <v/>
      </c>
    </row>
    <row r="419" customFormat="false" ht="15" hidden="false" customHeight="false" outlineLevel="0" collapsed="false">
      <c r="N419" s="34" t="str">
        <f aca="false">IF(D419="","",DATE(YEAR(D419),MONTH(D419),1))</f>
        <v/>
      </c>
      <c r="O419" s="35" t="str">
        <f aca="false">IF(A419="","",IF(ISNUMBER(I419),I419,0))</f>
        <v/>
      </c>
      <c r="P419" s="35" t="str">
        <f aca="false">IF(A419="","",F419+O419+K419)</f>
        <v/>
      </c>
      <c r="Q419" s="36" t="str">
        <f aca="false">IF(A419="","",IF(P419-L419=M419,"OK","Divergente"))</f>
        <v/>
      </c>
    </row>
    <row r="420" customFormat="false" ht="15" hidden="false" customHeight="false" outlineLevel="0" collapsed="false">
      <c r="N420" s="34" t="str">
        <f aca="false">IF(D420="","",DATE(YEAR(D420),MONTH(D420),1))</f>
        <v/>
      </c>
      <c r="O420" s="35" t="str">
        <f aca="false">IF(A420="","",IF(ISNUMBER(I420),I420,0))</f>
        <v/>
      </c>
      <c r="P420" s="35" t="str">
        <f aca="false">IF(A420="","",F420+O420+K420)</f>
        <v/>
      </c>
      <c r="Q420" s="36" t="str">
        <f aca="false">IF(A420="","",IF(P420-L420=M420,"OK","Divergente"))</f>
        <v/>
      </c>
    </row>
    <row r="421" customFormat="false" ht="15" hidden="false" customHeight="false" outlineLevel="0" collapsed="false">
      <c r="N421" s="34" t="str">
        <f aca="false">IF(D421="","",DATE(YEAR(D421),MONTH(D421),1))</f>
        <v/>
      </c>
      <c r="O421" s="35" t="str">
        <f aca="false">IF(A421="","",IF(ISNUMBER(I421),I421,0))</f>
        <v/>
      </c>
      <c r="P421" s="35" t="str">
        <f aca="false">IF(A421="","",F421+O421+K421)</f>
        <v/>
      </c>
      <c r="Q421" s="36" t="str">
        <f aca="false">IF(A421="","",IF(P421-L421=M421,"OK","Divergente"))</f>
        <v/>
      </c>
    </row>
    <row r="422" customFormat="false" ht="15" hidden="false" customHeight="false" outlineLevel="0" collapsed="false">
      <c r="N422" s="34" t="str">
        <f aca="false">IF(D422="","",DATE(YEAR(D422),MONTH(D422),1))</f>
        <v/>
      </c>
      <c r="O422" s="35" t="str">
        <f aca="false">IF(A422="","",IF(ISNUMBER(I422),I422,0))</f>
        <v/>
      </c>
      <c r="P422" s="35" t="str">
        <f aca="false">IF(A422="","",F422+O422+K422)</f>
        <v/>
      </c>
      <c r="Q422" s="36" t="str">
        <f aca="false">IF(A422="","",IF(P422-L422=M422,"OK","Divergente"))</f>
        <v/>
      </c>
    </row>
    <row r="423" customFormat="false" ht="15" hidden="false" customHeight="false" outlineLevel="0" collapsed="false">
      <c r="N423" s="34" t="str">
        <f aca="false">IF(D423="","",DATE(YEAR(D423),MONTH(D423),1))</f>
        <v/>
      </c>
      <c r="O423" s="35" t="str">
        <f aca="false">IF(A423="","",IF(ISNUMBER(I423),I423,0))</f>
        <v/>
      </c>
      <c r="P423" s="35" t="str">
        <f aca="false">IF(A423="","",F423+O423+K423)</f>
        <v/>
      </c>
      <c r="Q423" s="36" t="str">
        <f aca="false">IF(A423="","",IF(P423-L423=M423,"OK","Divergente"))</f>
        <v/>
      </c>
    </row>
    <row r="424" customFormat="false" ht="15" hidden="false" customHeight="false" outlineLevel="0" collapsed="false">
      <c r="N424" s="34" t="str">
        <f aca="false">IF(D424="","",DATE(YEAR(D424),MONTH(D424),1))</f>
        <v/>
      </c>
      <c r="O424" s="35" t="str">
        <f aca="false">IF(A424="","",IF(ISNUMBER(I424),I424,0))</f>
        <v/>
      </c>
      <c r="P424" s="35" t="str">
        <f aca="false">IF(A424="","",F424+O424+K424)</f>
        <v/>
      </c>
      <c r="Q424" s="36" t="str">
        <f aca="false">IF(A424="","",IF(P424-L424=M424,"OK","Divergente"))</f>
        <v/>
      </c>
    </row>
    <row r="425" customFormat="false" ht="15" hidden="false" customHeight="false" outlineLevel="0" collapsed="false">
      <c r="N425" s="34" t="str">
        <f aca="false">IF(D425="","",DATE(YEAR(D425),MONTH(D425),1))</f>
        <v/>
      </c>
      <c r="O425" s="35" t="str">
        <f aca="false">IF(A425="","",IF(ISNUMBER(I425),I425,0))</f>
        <v/>
      </c>
      <c r="P425" s="35" t="str">
        <f aca="false">IF(A425="","",F425+O425+K425)</f>
        <v/>
      </c>
      <c r="Q425" s="36" t="str">
        <f aca="false">IF(A425="","",IF(P425-L425=M425,"OK","Divergente"))</f>
        <v/>
      </c>
    </row>
    <row r="426" customFormat="false" ht="15" hidden="false" customHeight="false" outlineLevel="0" collapsed="false">
      <c r="N426" s="34" t="str">
        <f aca="false">IF(D426="","",DATE(YEAR(D426),MONTH(D426),1))</f>
        <v/>
      </c>
      <c r="O426" s="35" t="str">
        <f aca="false">IF(A426="","",IF(ISNUMBER(I426),I426,0))</f>
        <v/>
      </c>
      <c r="P426" s="35" t="str">
        <f aca="false">IF(A426="","",F426+O426+K426)</f>
        <v/>
      </c>
      <c r="Q426" s="36" t="str">
        <f aca="false">IF(A426="","",IF(P426-L426=M426,"OK","Divergente"))</f>
        <v/>
      </c>
    </row>
    <row r="427" customFormat="false" ht="15" hidden="false" customHeight="false" outlineLevel="0" collapsed="false">
      <c r="N427" s="34" t="str">
        <f aca="false">IF(D427="","",DATE(YEAR(D427),MONTH(D427),1))</f>
        <v/>
      </c>
      <c r="O427" s="35" t="str">
        <f aca="false">IF(A427="","",IF(ISNUMBER(I427),I427,0))</f>
        <v/>
      </c>
      <c r="P427" s="35" t="str">
        <f aca="false">IF(A427="","",F427+O427+K427)</f>
        <v/>
      </c>
      <c r="Q427" s="36" t="str">
        <f aca="false">IF(A427="","",IF(P427-L427=M427,"OK","Divergente"))</f>
        <v/>
      </c>
    </row>
    <row r="428" customFormat="false" ht="15" hidden="false" customHeight="false" outlineLevel="0" collapsed="false">
      <c r="N428" s="34" t="str">
        <f aca="false">IF(D428="","",DATE(YEAR(D428),MONTH(D428),1))</f>
        <v/>
      </c>
      <c r="O428" s="35" t="str">
        <f aca="false">IF(A428="","",IF(ISNUMBER(I428),I428,0))</f>
        <v/>
      </c>
      <c r="P428" s="35" t="str">
        <f aca="false">IF(A428="","",F428+O428+K428)</f>
        <v/>
      </c>
      <c r="Q428" s="36" t="str">
        <f aca="false">IF(A428="","",IF(P428-L428=M428,"OK","Divergente"))</f>
        <v/>
      </c>
    </row>
    <row r="429" customFormat="false" ht="15" hidden="false" customHeight="false" outlineLevel="0" collapsed="false">
      <c r="N429" s="34" t="str">
        <f aca="false">IF(D429="","",DATE(YEAR(D429),MONTH(D429),1))</f>
        <v/>
      </c>
      <c r="O429" s="35" t="str">
        <f aca="false">IF(A429="","",IF(ISNUMBER(I429),I429,0))</f>
        <v/>
      </c>
      <c r="P429" s="35" t="str">
        <f aca="false">IF(A429="","",F429+O429+K429)</f>
        <v/>
      </c>
      <c r="Q429" s="36" t="str">
        <f aca="false">IF(A429="","",IF(P429-L429=M429,"OK","Divergente"))</f>
        <v/>
      </c>
    </row>
    <row r="430" customFormat="false" ht="15" hidden="false" customHeight="false" outlineLevel="0" collapsed="false">
      <c r="N430" s="34" t="str">
        <f aca="false">IF(D430="","",DATE(YEAR(D430),MONTH(D430),1))</f>
        <v/>
      </c>
      <c r="O430" s="35" t="str">
        <f aca="false">IF(A430="","",IF(ISNUMBER(I430),I430,0))</f>
        <v/>
      </c>
      <c r="P430" s="35" t="str">
        <f aca="false">IF(A430="","",F430+O430+K430)</f>
        <v/>
      </c>
      <c r="Q430" s="36" t="str">
        <f aca="false">IF(A430="","",IF(P430-L430=M430,"OK","Divergente"))</f>
        <v/>
      </c>
    </row>
    <row r="431" customFormat="false" ht="15" hidden="false" customHeight="false" outlineLevel="0" collapsed="false">
      <c r="N431" s="34" t="str">
        <f aca="false">IF(D431="","",DATE(YEAR(D431),MONTH(D431),1))</f>
        <v/>
      </c>
      <c r="O431" s="35" t="str">
        <f aca="false">IF(A431="","",IF(ISNUMBER(I431),I431,0))</f>
        <v/>
      </c>
      <c r="P431" s="35" t="str">
        <f aca="false">IF(A431="","",F431+O431+K431)</f>
        <v/>
      </c>
      <c r="Q431" s="36" t="str">
        <f aca="false">IF(A431="","",IF(P431-L431=M431,"OK","Divergente"))</f>
        <v/>
      </c>
    </row>
    <row r="432" customFormat="false" ht="15" hidden="false" customHeight="false" outlineLevel="0" collapsed="false">
      <c r="N432" s="34" t="str">
        <f aca="false">IF(D432="","",DATE(YEAR(D432),MONTH(D432),1))</f>
        <v/>
      </c>
      <c r="O432" s="35" t="str">
        <f aca="false">IF(A432="","",IF(ISNUMBER(I432),I432,0))</f>
        <v/>
      </c>
      <c r="P432" s="35" t="str">
        <f aca="false">IF(A432="","",F432+O432+K432)</f>
        <v/>
      </c>
      <c r="Q432" s="36" t="str">
        <f aca="false">IF(A432="","",IF(P432-L432=M432,"OK","Divergente"))</f>
        <v/>
      </c>
    </row>
    <row r="433" customFormat="false" ht="15" hidden="false" customHeight="false" outlineLevel="0" collapsed="false">
      <c r="N433" s="34" t="str">
        <f aca="false">IF(D433="","",DATE(YEAR(D433),MONTH(D433),1))</f>
        <v/>
      </c>
      <c r="O433" s="35" t="str">
        <f aca="false">IF(A433="","",IF(ISNUMBER(I433),I433,0))</f>
        <v/>
      </c>
      <c r="P433" s="35" t="str">
        <f aca="false">IF(A433="","",F433+O433+K433)</f>
        <v/>
      </c>
      <c r="Q433" s="36" t="str">
        <f aca="false">IF(A433="","",IF(P433-L433=M433,"OK","Divergente"))</f>
        <v/>
      </c>
    </row>
    <row r="434" customFormat="false" ht="15" hidden="false" customHeight="false" outlineLevel="0" collapsed="false">
      <c r="N434" s="34" t="str">
        <f aca="false">IF(D434="","",DATE(YEAR(D434),MONTH(D434),1))</f>
        <v/>
      </c>
      <c r="O434" s="35" t="str">
        <f aca="false">IF(A434="","",IF(ISNUMBER(I434),I434,0))</f>
        <v/>
      </c>
      <c r="P434" s="35" t="str">
        <f aca="false">IF(A434="","",F434+O434+K434)</f>
        <v/>
      </c>
      <c r="Q434" s="36" t="str">
        <f aca="false">IF(A434="","",IF(P434-L434=M434,"OK","Divergente"))</f>
        <v/>
      </c>
    </row>
    <row r="435" customFormat="false" ht="15" hidden="false" customHeight="false" outlineLevel="0" collapsed="false">
      <c r="N435" s="34" t="str">
        <f aca="false">IF(D435="","",DATE(YEAR(D435),MONTH(D435),1))</f>
        <v/>
      </c>
      <c r="O435" s="35" t="str">
        <f aca="false">IF(A435="","",IF(ISNUMBER(I435),I435,0))</f>
        <v/>
      </c>
      <c r="P435" s="35" t="str">
        <f aca="false">IF(A435="","",F435+O435+K435)</f>
        <v/>
      </c>
      <c r="Q435" s="36" t="str">
        <f aca="false">IF(A435="","",IF(P435-L435=M435,"OK","Divergente"))</f>
        <v/>
      </c>
    </row>
    <row r="436" customFormat="false" ht="15" hidden="false" customHeight="false" outlineLevel="0" collapsed="false">
      <c r="N436" s="34" t="str">
        <f aca="false">IF(D436="","",DATE(YEAR(D436),MONTH(D436),1))</f>
        <v/>
      </c>
      <c r="O436" s="35" t="str">
        <f aca="false">IF(A436="","",IF(ISNUMBER(I436),I436,0))</f>
        <v/>
      </c>
      <c r="P436" s="35" t="str">
        <f aca="false">IF(A436="","",F436+O436+K436)</f>
        <v/>
      </c>
      <c r="Q436" s="36" t="str">
        <f aca="false">IF(A436="","",IF(P436-L436=M436,"OK","Divergente"))</f>
        <v/>
      </c>
    </row>
    <row r="437" customFormat="false" ht="15" hidden="false" customHeight="false" outlineLevel="0" collapsed="false">
      <c r="N437" s="34" t="str">
        <f aca="false">IF(D437="","",DATE(YEAR(D437),MONTH(D437),1))</f>
        <v/>
      </c>
      <c r="O437" s="35" t="str">
        <f aca="false">IF(A437="","",IF(ISNUMBER(I437),I437,0))</f>
        <v/>
      </c>
      <c r="P437" s="35" t="str">
        <f aca="false">IF(A437="","",F437+O437+K437)</f>
        <v/>
      </c>
      <c r="Q437" s="36" t="str">
        <f aca="false">IF(A437="","",IF(P437-L437=M437,"OK","Divergente"))</f>
        <v/>
      </c>
    </row>
    <row r="438" customFormat="false" ht="15" hidden="false" customHeight="false" outlineLevel="0" collapsed="false">
      <c r="N438" s="34" t="str">
        <f aca="false">IF(D438="","",DATE(YEAR(D438),MONTH(D438),1))</f>
        <v/>
      </c>
      <c r="O438" s="35" t="str">
        <f aca="false">IF(A438="","",IF(ISNUMBER(I438),I438,0))</f>
        <v/>
      </c>
      <c r="P438" s="35" t="str">
        <f aca="false">IF(A438="","",F438+O438+K438)</f>
        <v/>
      </c>
      <c r="Q438" s="36" t="str">
        <f aca="false">IF(A438="","",IF(P438-L438=M438,"OK","Divergente"))</f>
        <v/>
      </c>
    </row>
    <row r="439" customFormat="false" ht="15" hidden="false" customHeight="false" outlineLevel="0" collapsed="false">
      <c r="N439" s="34" t="str">
        <f aca="false">IF(D439="","",DATE(YEAR(D439),MONTH(D439),1))</f>
        <v/>
      </c>
      <c r="O439" s="35" t="str">
        <f aca="false">IF(A439="","",IF(ISNUMBER(I439),I439,0))</f>
        <v/>
      </c>
      <c r="P439" s="35" t="str">
        <f aca="false">IF(A439="","",F439+O439+K439)</f>
        <v/>
      </c>
      <c r="Q439" s="36" t="str">
        <f aca="false">IF(A439="","",IF(P439-L439=M439,"OK","Divergente"))</f>
        <v/>
      </c>
    </row>
    <row r="440" customFormat="false" ht="15" hidden="false" customHeight="false" outlineLevel="0" collapsed="false">
      <c r="N440" s="34" t="str">
        <f aca="false">IF(D440="","",DATE(YEAR(D440),MONTH(D440),1))</f>
        <v/>
      </c>
      <c r="O440" s="35" t="str">
        <f aca="false">IF(A440="","",IF(ISNUMBER(I440),I440,0))</f>
        <v/>
      </c>
      <c r="P440" s="35" t="str">
        <f aca="false">IF(A440="","",F440+O440+K440)</f>
        <v/>
      </c>
      <c r="Q440" s="36" t="str">
        <f aca="false">IF(A440="","",IF(P440-L440=M440,"OK","Divergente"))</f>
        <v/>
      </c>
    </row>
    <row r="441" customFormat="false" ht="15" hidden="false" customHeight="false" outlineLevel="0" collapsed="false">
      <c r="N441" s="34" t="str">
        <f aca="false">IF(D441="","",DATE(YEAR(D441),MONTH(D441),1))</f>
        <v/>
      </c>
      <c r="O441" s="35" t="str">
        <f aca="false">IF(A441="","",IF(ISNUMBER(I441),I441,0))</f>
        <v/>
      </c>
      <c r="P441" s="35" t="str">
        <f aca="false">IF(A441="","",F441+O441+K441)</f>
        <v/>
      </c>
      <c r="Q441" s="36" t="str">
        <f aca="false">IF(A441="","",IF(P441-L441=M441,"OK","Divergente"))</f>
        <v/>
      </c>
    </row>
    <row r="442" customFormat="false" ht="15" hidden="false" customHeight="false" outlineLevel="0" collapsed="false">
      <c r="N442" s="34" t="str">
        <f aca="false">IF(D442="","",DATE(YEAR(D442),MONTH(D442),1))</f>
        <v/>
      </c>
      <c r="O442" s="35" t="str">
        <f aca="false">IF(A442="","",IF(ISNUMBER(I442),I442,0))</f>
        <v/>
      </c>
      <c r="P442" s="35" t="str">
        <f aca="false">IF(A442="","",F442+O442+K442)</f>
        <v/>
      </c>
      <c r="Q442" s="36" t="str">
        <f aca="false">IF(A442="","",IF(P442-L442=M442,"OK","Divergente"))</f>
        <v/>
      </c>
    </row>
    <row r="443" customFormat="false" ht="15" hidden="false" customHeight="false" outlineLevel="0" collapsed="false">
      <c r="N443" s="34" t="str">
        <f aca="false">IF(D443="","",DATE(YEAR(D443),MONTH(D443),1))</f>
        <v/>
      </c>
      <c r="O443" s="35" t="str">
        <f aca="false">IF(A443="","",IF(ISNUMBER(I443),I443,0))</f>
        <v/>
      </c>
      <c r="P443" s="35" t="str">
        <f aca="false">IF(A443="","",F443+O443+K443)</f>
        <v/>
      </c>
      <c r="Q443" s="36" t="str">
        <f aca="false">IF(A443="","",IF(P443-L443=M443,"OK","Divergente"))</f>
        <v/>
      </c>
    </row>
    <row r="444" customFormat="false" ht="15" hidden="false" customHeight="false" outlineLevel="0" collapsed="false">
      <c r="N444" s="34" t="str">
        <f aca="false">IF(D444="","",DATE(YEAR(D444),MONTH(D444),1))</f>
        <v/>
      </c>
      <c r="O444" s="35" t="str">
        <f aca="false">IF(A444="","",IF(ISNUMBER(I444),I444,0))</f>
        <v/>
      </c>
      <c r="P444" s="35" t="str">
        <f aca="false">IF(A444="","",F444+O444+K444)</f>
        <v/>
      </c>
      <c r="Q444" s="36" t="str">
        <f aca="false">IF(A444="","",IF(P444-L444=M444,"OK","Divergente"))</f>
        <v/>
      </c>
    </row>
    <row r="445" customFormat="false" ht="15" hidden="false" customHeight="false" outlineLevel="0" collapsed="false">
      <c r="N445" s="34" t="str">
        <f aca="false">IF(D445="","",DATE(YEAR(D445),MONTH(D445),1))</f>
        <v/>
      </c>
      <c r="O445" s="35" t="str">
        <f aca="false">IF(A445="","",IF(ISNUMBER(I445),I445,0))</f>
        <v/>
      </c>
      <c r="P445" s="35" t="str">
        <f aca="false">IF(A445="","",F445+O445+K445)</f>
        <v/>
      </c>
      <c r="Q445" s="36" t="str">
        <f aca="false">IF(A445="","",IF(P445-L445=M445,"OK","Divergente"))</f>
        <v/>
      </c>
    </row>
    <row r="446" customFormat="false" ht="15" hidden="false" customHeight="false" outlineLevel="0" collapsed="false">
      <c r="N446" s="34" t="str">
        <f aca="false">IF(D446="","",DATE(YEAR(D446),MONTH(D446),1))</f>
        <v/>
      </c>
      <c r="O446" s="35" t="str">
        <f aca="false">IF(A446="","",IF(ISNUMBER(I446),I446,0))</f>
        <v/>
      </c>
      <c r="P446" s="35" t="str">
        <f aca="false">IF(A446="","",F446+O446+K446)</f>
        <v/>
      </c>
      <c r="Q446" s="36" t="str">
        <f aca="false">IF(A446="","",IF(P446-L446=M446,"OK","Divergente"))</f>
        <v/>
      </c>
    </row>
    <row r="447" customFormat="false" ht="15" hidden="false" customHeight="false" outlineLevel="0" collapsed="false">
      <c r="N447" s="34" t="str">
        <f aca="false">IF(D447="","",DATE(YEAR(D447),MONTH(D447),1))</f>
        <v/>
      </c>
      <c r="O447" s="35" t="str">
        <f aca="false">IF(A447="","",IF(ISNUMBER(I447),I447,0))</f>
        <v/>
      </c>
      <c r="P447" s="35" t="str">
        <f aca="false">IF(A447="","",F447+O447+K447)</f>
        <v/>
      </c>
      <c r="Q447" s="36" t="str">
        <f aca="false">IF(A447="","",IF(P447-L447=M447,"OK","Divergente"))</f>
        <v/>
      </c>
    </row>
    <row r="448" customFormat="false" ht="15" hidden="false" customHeight="false" outlineLevel="0" collapsed="false">
      <c r="N448" s="34" t="str">
        <f aca="false">IF(D448="","",DATE(YEAR(D448),MONTH(D448),1))</f>
        <v/>
      </c>
      <c r="O448" s="35" t="str">
        <f aca="false">IF(A448="","",IF(ISNUMBER(I448),I448,0))</f>
        <v/>
      </c>
      <c r="P448" s="35" t="str">
        <f aca="false">IF(A448="","",F448+O448+K448)</f>
        <v/>
      </c>
      <c r="Q448" s="36" t="str">
        <f aca="false">IF(A448="","",IF(P448-L448=M448,"OK","Divergente"))</f>
        <v/>
      </c>
    </row>
    <row r="449" customFormat="false" ht="15" hidden="false" customHeight="false" outlineLevel="0" collapsed="false">
      <c r="N449" s="34" t="str">
        <f aca="false">IF(D449="","",DATE(YEAR(D449),MONTH(D449),1))</f>
        <v/>
      </c>
      <c r="O449" s="35" t="str">
        <f aca="false">IF(A449="","",IF(ISNUMBER(I449),I449,0))</f>
        <v/>
      </c>
      <c r="P449" s="35" t="str">
        <f aca="false">IF(A449="","",F449+O449+K449)</f>
        <v/>
      </c>
      <c r="Q449" s="36" t="str">
        <f aca="false">IF(A449="","",IF(P449-L449=M449,"OK","Divergente"))</f>
        <v/>
      </c>
    </row>
    <row r="450" customFormat="false" ht="15" hidden="false" customHeight="false" outlineLevel="0" collapsed="false">
      <c r="N450" s="34" t="str">
        <f aca="false">IF(D450="","",DATE(YEAR(D450),MONTH(D450),1))</f>
        <v/>
      </c>
      <c r="O450" s="35" t="str">
        <f aca="false">IF(A450="","",IF(ISNUMBER(I450),I450,0))</f>
        <v/>
      </c>
      <c r="P450" s="35" t="str">
        <f aca="false">IF(A450="","",F450+O450+K450)</f>
        <v/>
      </c>
      <c r="Q450" s="36" t="str">
        <f aca="false">IF(A450="","",IF(P450-L450=M450,"OK","Divergente"))</f>
        <v/>
      </c>
    </row>
    <row r="451" customFormat="false" ht="15" hidden="false" customHeight="false" outlineLevel="0" collapsed="false">
      <c r="N451" s="34" t="str">
        <f aca="false">IF(D451="","",DATE(YEAR(D451),MONTH(D451),1))</f>
        <v/>
      </c>
      <c r="O451" s="35" t="str">
        <f aca="false">IF(A451="","",IF(ISNUMBER(I451),I451,0))</f>
        <v/>
      </c>
      <c r="P451" s="35" t="str">
        <f aca="false">IF(A451="","",F451+O451+K451)</f>
        <v/>
      </c>
      <c r="Q451" s="36" t="str">
        <f aca="false">IF(A451="","",IF(P451-L451=M451,"OK","Divergente"))</f>
        <v/>
      </c>
    </row>
    <row r="452" customFormat="false" ht="15" hidden="false" customHeight="false" outlineLevel="0" collapsed="false">
      <c r="N452" s="34" t="str">
        <f aca="false">IF(D452="","",DATE(YEAR(D452),MONTH(D452),1))</f>
        <v/>
      </c>
      <c r="O452" s="35" t="str">
        <f aca="false">IF(A452="","",IF(ISNUMBER(I452),I452,0))</f>
        <v/>
      </c>
      <c r="P452" s="35" t="str">
        <f aca="false">IF(A452="","",F452+O452+K452)</f>
        <v/>
      </c>
      <c r="Q452" s="36" t="str">
        <f aca="false">IF(A452="","",IF(P452-L452=M452,"OK","Divergente"))</f>
        <v/>
      </c>
    </row>
    <row r="453" customFormat="false" ht="15" hidden="false" customHeight="false" outlineLevel="0" collapsed="false">
      <c r="N453" s="34" t="str">
        <f aca="false">IF(D453="","",DATE(YEAR(D453),MONTH(D453),1))</f>
        <v/>
      </c>
      <c r="O453" s="35" t="str">
        <f aca="false">IF(A453="","",IF(ISNUMBER(I453),I453,0))</f>
        <v/>
      </c>
      <c r="P453" s="35" t="str">
        <f aca="false">IF(A453="","",F453+O453+K453)</f>
        <v/>
      </c>
      <c r="Q453" s="36" t="str">
        <f aca="false">IF(A453="","",IF(P453-L453=M453,"OK","Divergente"))</f>
        <v/>
      </c>
    </row>
    <row r="454" customFormat="false" ht="15" hidden="false" customHeight="false" outlineLevel="0" collapsed="false">
      <c r="N454" s="34" t="str">
        <f aca="false">IF(D454="","",DATE(YEAR(D454),MONTH(D454),1))</f>
        <v/>
      </c>
      <c r="O454" s="35" t="str">
        <f aca="false">IF(A454="","",IF(ISNUMBER(I454),I454,0))</f>
        <v/>
      </c>
      <c r="P454" s="35" t="str">
        <f aca="false">IF(A454="","",F454+O454+K454)</f>
        <v/>
      </c>
      <c r="Q454" s="36" t="str">
        <f aca="false">IF(A454="","",IF(P454-L454=M454,"OK","Divergente"))</f>
        <v/>
      </c>
    </row>
    <row r="455" customFormat="false" ht="15" hidden="false" customHeight="false" outlineLevel="0" collapsed="false">
      <c r="N455" s="34" t="str">
        <f aca="false">IF(D455="","",DATE(YEAR(D455),MONTH(D455),1))</f>
        <v/>
      </c>
      <c r="O455" s="35" t="str">
        <f aca="false">IF(A455="","",IF(ISNUMBER(I455),I455,0))</f>
        <v/>
      </c>
      <c r="P455" s="35" t="str">
        <f aca="false">IF(A455="","",F455+O455+K455)</f>
        <v/>
      </c>
      <c r="Q455" s="36" t="str">
        <f aca="false">IF(A455="","",IF(P455-L455=M455,"OK","Divergente"))</f>
        <v/>
      </c>
    </row>
    <row r="456" customFormat="false" ht="15" hidden="false" customHeight="false" outlineLevel="0" collapsed="false">
      <c r="N456" s="34" t="str">
        <f aca="false">IF(D456="","",DATE(YEAR(D456),MONTH(D456),1))</f>
        <v/>
      </c>
      <c r="O456" s="35" t="str">
        <f aca="false">IF(A456="","",IF(ISNUMBER(I456),I456,0))</f>
        <v/>
      </c>
      <c r="P456" s="35" t="str">
        <f aca="false">IF(A456="","",F456+O456+K456)</f>
        <v/>
      </c>
      <c r="Q456" s="36" t="str">
        <f aca="false">IF(A456="","",IF(P456-L456=M456,"OK","Divergente"))</f>
        <v/>
      </c>
    </row>
    <row r="457" customFormat="false" ht="15" hidden="false" customHeight="false" outlineLevel="0" collapsed="false">
      <c r="N457" s="34" t="str">
        <f aca="false">IF(D457="","",DATE(YEAR(D457),MONTH(D457),1))</f>
        <v/>
      </c>
      <c r="O457" s="35" t="str">
        <f aca="false">IF(A457="","",IF(ISNUMBER(I457),I457,0))</f>
        <v/>
      </c>
      <c r="P457" s="35" t="str">
        <f aca="false">IF(A457="","",F457+O457+K457)</f>
        <v/>
      </c>
      <c r="Q457" s="36" t="str">
        <f aca="false">IF(A457="","",IF(P457-L457=M457,"OK","Divergente"))</f>
        <v/>
      </c>
    </row>
    <row r="458" customFormat="false" ht="15" hidden="false" customHeight="false" outlineLevel="0" collapsed="false">
      <c r="N458" s="34" t="str">
        <f aca="false">IF(D458="","",DATE(YEAR(D458),MONTH(D458),1))</f>
        <v/>
      </c>
      <c r="O458" s="35" t="str">
        <f aca="false">IF(A458="","",IF(ISNUMBER(I458),I458,0))</f>
        <v/>
      </c>
      <c r="P458" s="35" t="str">
        <f aca="false">IF(A458="","",F458+O458+K458)</f>
        <v/>
      </c>
      <c r="Q458" s="36" t="str">
        <f aca="false">IF(A458="","",IF(P458-L458=M458,"OK","Divergente"))</f>
        <v/>
      </c>
    </row>
    <row r="459" customFormat="false" ht="15" hidden="false" customHeight="false" outlineLevel="0" collapsed="false">
      <c r="N459" s="34" t="str">
        <f aca="false">IF(D459="","",DATE(YEAR(D459),MONTH(D459),1))</f>
        <v/>
      </c>
      <c r="O459" s="35" t="str">
        <f aca="false">IF(A459="","",IF(ISNUMBER(I459),I459,0))</f>
        <v/>
      </c>
      <c r="P459" s="35" t="str">
        <f aca="false">IF(A459="","",F459+O459+K459)</f>
        <v/>
      </c>
      <c r="Q459" s="36" t="str">
        <f aca="false">IF(A459="","",IF(P459-L459=M459,"OK","Divergente"))</f>
        <v/>
      </c>
    </row>
    <row r="460" customFormat="false" ht="15" hidden="false" customHeight="false" outlineLevel="0" collapsed="false">
      <c r="N460" s="34" t="str">
        <f aca="false">IF(D460="","",DATE(YEAR(D460),MONTH(D460),1))</f>
        <v/>
      </c>
      <c r="O460" s="35" t="str">
        <f aca="false">IF(A460="","",IF(ISNUMBER(I460),I460,0))</f>
        <v/>
      </c>
      <c r="P460" s="35" t="str">
        <f aca="false">IF(A460="","",F460+O460+K460)</f>
        <v/>
      </c>
      <c r="Q460" s="36" t="str">
        <f aca="false">IF(A460="","",IF(P460-L460=M460,"OK","Divergente"))</f>
        <v/>
      </c>
    </row>
    <row r="461" customFormat="false" ht="15" hidden="false" customHeight="false" outlineLevel="0" collapsed="false">
      <c r="N461" s="34" t="str">
        <f aca="false">IF(D461="","",DATE(YEAR(D461),MONTH(D461),1))</f>
        <v/>
      </c>
      <c r="O461" s="35" t="str">
        <f aca="false">IF(A461="","",IF(ISNUMBER(I461),I461,0))</f>
        <v/>
      </c>
      <c r="P461" s="35" t="str">
        <f aca="false">IF(A461="","",F461+O461+K461)</f>
        <v/>
      </c>
      <c r="Q461" s="36" t="str">
        <f aca="false">IF(A461="","",IF(P461-L461=M461,"OK","Divergente"))</f>
        <v/>
      </c>
    </row>
    <row r="462" customFormat="false" ht="15" hidden="false" customHeight="false" outlineLevel="0" collapsed="false">
      <c r="N462" s="34" t="str">
        <f aca="false">IF(D462="","",DATE(YEAR(D462),MONTH(D462),1))</f>
        <v/>
      </c>
      <c r="O462" s="35" t="str">
        <f aca="false">IF(A462="","",IF(ISNUMBER(I462),I462,0))</f>
        <v/>
      </c>
      <c r="P462" s="35" t="str">
        <f aca="false">IF(A462="","",F462+O462+K462)</f>
        <v/>
      </c>
      <c r="Q462" s="36" t="str">
        <f aca="false">IF(A462="","",IF(P462-L462=M462,"OK","Divergente"))</f>
        <v/>
      </c>
    </row>
    <row r="463" customFormat="false" ht="15" hidden="false" customHeight="false" outlineLevel="0" collapsed="false">
      <c r="N463" s="34" t="str">
        <f aca="false">IF(D463="","",DATE(YEAR(D463),MONTH(D463),1))</f>
        <v/>
      </c>
      <c r="O463" s="35" t="str">
        <f aca="false">IF(A463="","",IF(ISNUMBER(I463),I463,0))</f>
        <v/>
      </c>
      <c r="P463" s="35" t="str">
        <f aca="false">IF(A463="","",F463+O463+K463)</f>
        <v/>
      </c>
      <c r="Q463" s="36" t="str">
        <f aca="false">IF(A463="","",IF(P463-L463=M463,"OK","Divergente"))</f>
        <v/>
      </c>
    </row>
    <row r="464" customFormat="false" ht="15" hidden="false" customHeight="false" outlineLevel="0" collapsed="false">
      <c r="N464" s="34" t="str">
        <f aca="false">IF(D464="","",DATE(YEAR(D464),MONTH(D464),1))</f>
        <v/>
      </c>
      <c r="O464" s="35" t="str">
        <f aca="false">IF(A464="","",IF(ISNUMBER(I464),I464,0))</f>
        <v/>
      </c>
      <c r="P464" s="35" t="str">
        <f aca="false">IF(A464="","",F464+O464+K464)</f>
        <v/>
      </c>
      <c r="Q464" s="36" t="str">
        <f aca="false">IF(A464="","",IF(P464-L464=M464,"OK","Divergente"))</f>
        <v/>
      </c>
    </row>
    <row r="465" customFormat="false" ht="15" hidden="false" customHeight="false" outlineLevel="0" collapsed="false">
      <c r="N465" s="34" t="str">
        <f aca="false">IF(D465="","",DATE(YEAR(D465),MONTH(D465),1))</f>
        <v/>
      </c>
      <c r="O465" s="35" t="str">
        <f aca="false">IF(A465="","",IF(ISNUMBER(I465),I465,0))</f>
        <v/>
      </c>
      <c r="P465" s="35" t="str">
        <f aca="false">IF(A465="","",F465+O465+K465)</f>
        <v/>
      </c>
      <c r="Q465" s="36" t="str">
        <f aca="false">IF(A465="","",IF(P465-L465=M465,"OK","Divergente"))</f>
        <v/>
      </c>
    </row>
    <row r="466" customFormat="false" ht="15" hidden="false" customHeight="false" outlineLevel="0" collapsed="false">
      <c r="N466" s="34" t="str">
        <f aca="false">IF(D466="","",DATE(YEAR(D466),MONTH(D466),1))</f>
        <v/>
      </c>
      <c r="O466" s="35" t="str">
        <f aca="false">IF(A466="","",IF(ISNUMBER(I466),I466,0))</f>
        <v/>
      </c>
      <c r="P466" s="35" t="str">
        <f aca="false">IF(A466="","",F466+O466+K466)</f>
        <v/>
      </c>
      <c r="Q466" s="36" t="str">
        <f aca="false">IF(A466="","",IF(P466-L466=M466,"OK","Divergente"))</f>
        <v/>
      </c>
    </row>
    <row r="467" customFormat="false" ht="15" hidden="false" customHeight="false" outlineLevel="0" collapsed="false">
      <c r="N467" s="34" t="str">
        <f aca="false">IF(D467="","",DATE(YEAR(D467),MONTH(D467),1))</f>
        <v/>
      </c>
      <c r="O467" s="35" t="str">
        <f aca="false">IF(A467="","",IF(ISNUMBER(I467),I467,0))</f>
        <v/>
      </c>
      <c r="P467" s="35" t="str">
        <f aca="false">IF(A467="","",F467+O467+K467)</f>
        <v/>
      </c>
      <c r="Q467" s="36" t="str">
        <f aca="false">IF(A467="","",IF(P467-L467=M467,"OK","Divergente"))</f>
        <v/>
      </c>
    </row>
    <row r="468" customFormat="false" ht="15" hidden="false" customHeight="false" outlineLevel="0" collapsed="false">
      <c r="N468" s="34" t="str">
        <f aca="false">IF(D468="","",DATE(YEAR(D468),MONTH(D468),1))</f>
        <v/>
      </c>
      <c r="O468" s="35" t="str">
        <f aca="false">IF(A468="","",IF(ISNUMBER(I468),I468,0))</f>
        <v/>
      </c>
      <c r="P468" s="35" t="str">
        <f aca="false">IF(A468="","",F468+O468+K468)</f>
        <v/>
      </c>
      <c r="Q468" s="36" t="str">
        <f aca="false">IF(A468="","",IF(P468-L468=M468,"OK","Divergente"))</f>
        <v/>
      </c>
    </row>
    <row r="469" customFormat="false" ht="15" hidden="false" customHeight="false" outlineLevel="0" collapsed="false">
      <c r="N469" s="34" t="str">
        <f aca="false">IF(D469="","",DATE(YEAR(D469),MONTH(D469),1))</f>
        <v/>
      </c>
      <c r="O469" s="35" t="str">
        <f aca="false">IF(A469="","",IF(ISNUMBER(I469),I469,0))</f>
        <v/>
      </c>
      <c r="P469" s="35" t="str">
        <f aca="false">IF(A469="","",F469+O469+K469)</f>
        <v/>
      </c>
      <c r="Q469" s="36" t="str">
        <f aca="false">IF(A469="","",IF(P469-L469=M469,"OK","Divergente"))</f>
        <v/>
      </c>
    </row>
    <row r="470" customFormat="false" ht="15" hidden="false" customHeight="false" outlineLevel="0" collapsed="false">
      <c r="N470" s="34" t="str">
        <f aca="false">IF(D470="","",DATE(YEAR(D470),MONTH(D470),1))</f>
        <v/>
      </c>
      <c r="O470" s="35" t="str">
        <f aca="false">IF(A470="","",IF(ISNUMBER(I470),I470,0))</f>
        <v/>
      </c>
      <c r="P470" s="35" t="str">
        <f aca="false">IF(A470="","",F470+O470+K470)</f>
        <v/>
      </c>
      <c r="Q470" s="36" t="str">
        <f aca="false">IF(A470="","",IF(P470-L470=M470,"OK","Divergente"))</f>
        <v/>
      </c>
    </row>
    <row r="471" customFormat="false" ht="15" hidden="false" customHeight="false" outlineLevel="0" collapsed="false">
      <c r="N471" s="34" t="str">
        <f aca="false">IF(D471="","",DATE(YEAR(D471),MONTH(D471),1))</f>
        <v/>
      </c>
      <c r="O471" s="35" t="str">
        <f aca="false">IF(A471="","",IF(ISNUMBER(I471),I471,0))</f>
        <v/>
      </c>
      <c r="P471" s="35" t="str">
        <f aca="false">IF(A471="","",F471+O471+K471)</f>
        <v/>
      </c>
      <c r="Q471" s="36" t="str">
        <f aca="false">IF(A471="","",IF(P471-L471=M471,"OK","Divergente"))</f>
        <v/>
      </c>
    </row>
    <row r="472" customFormat="false" ht="15" hidden="false" customHeight="false" outlineLevel="0" collapsed="false">
      <c r="N472" s="34" t="str">
        <f aca="false">IF(D472="","",DATE(YEAR(D472),MONTH(D472),1))</f>
        <v/>
      </c>
      <c r="O472" s="35" t="str">
        <f aca="false">IF(A472="","",IF(ISNUMBER(I472),I472,0))</f>
        <v/>
      </c>
      <c r="P472" s="35" t="str">
        <f aca="false">IF(A472="","",F472+O472+K472)</f>
        <v/>
      </c>
      <c r="Q472" s="36" t="str">
        <f aca="false">IF(A472="","",IF(P472-L472=M472,"OK","Divergente"))</f>
        <v/>
      </c>
    </row>
    <row r="473" customFormat="false" ht="15" hidden="false" customHeight="false" outlineLevel="0" collapsed="false">
      <c r="N473" s="34" t="str">
        <f aca="false">IF(D473="","",DATE(YEAR(D473),MONTH(D473),1))</f>
        <v/>
      </c>
      <c r="O473" s="35" t="str">
        <f aca="false">IF(A473="","",IF(ISNUMBER(I473),I473,0))</f>
        <v/>
      </c>
      <c r="P473" s="35" t="str">
        <f aca="false">IF(A473="","",F473+O473+K473)</f>
        <v/>
      </c>
      <c r="Q473" s="36" t="str">
        <f aca="false">IF(A473="","",IF(P473-L473=M473,"OK","Divergente"))</f>
        <v/>
      </c>
    </row>
    <row r="474" customFormat="false" ht="15" hidden="false" customHeight="false" outlineLevel="0" collapsed="false">
      <c r="N474" s="34" t="str">
        <f aca="false">IF(D474="","",DATE(YEAR(D474),MONTH(D474),1))</f>
        <v/>
      </c>
      <c r="O474" s="35" t="str">
        <f aca="false">IF(A474="","",IF(ISNUMBER(I474),I474,0))</f>
        <v/>
      </c>
      <c r="P474" s="35" t="str">
        <f aca="false">IF(A474="","",F474+O474+K474)</f>
        <v/>
      </c>
      <c r="Q474" s="36" t="str">
        <f aca="false">IF(A474="","",IF(P474-L474=M474,"OK","Divergente"))</f>
        <v/>
      </c>
    </row>
    <row r="475" customFormat="false" ht="15" hidden="false" customHeight="false" outlineLevel="0" collapsed="false">
      <c r="N475" s="34" t="str">
        <f aca="false">IF(D475="","",DATE(YEAR(D475),MONTH(D475),1))</f>
        <v/>
      </c>
      <c r="O475" s="35" t="str">
        <f aca="false">IF(A475="","",IF(ISNUMBER(I475),I475,0))</f>
        <v/>
      </c>
      <c r="P475" s="35" t="str">
        <f aca="false">IF(A475="","",F475+O475+K475)</f>
        <v/>
      </c>
      <c r="Q475" s="36" t="str">
        <f aca="false">IF(A475="","",IF(P475-L475=M475,"OK","Divergente"))</f>
        <v/>
      </c>
    </row>
    <row r="476" customFormat="false" ht="15" hidden="false" customHeight="false" outlineLevel="0" collapsed="false">
      <c r="N476" s="34" t="str">
        <f aca="false">IF(D476="","",DATE(YEAR(D476),MONTH(D476),1))</f>
        <v/>
      </c>
      <c r="O476" s="35" t="str">
        <f aca="false">IF(A476="","",IF(ISNUMBER(I476),I476,0))</f>
        <v/>
      </c>
      <c r="P476" s="35" t="str">
        <f aca="false">IF(A476="","",F476+O476+K476)</f>
        <v/>
      </c>
      <c r="Q476" s="36" t="str">
        <f aca="false">IF(A476="","",IF(P476-L476=M476,"OK","Divergente"))</f>
        <v/>
      </c>
    </row>
    <row r="477" customFormat="false" ht="15" hidden="false" customHeight="false" outlineLevel="0" collapsed="false">
      <c r="N477" s="34" t="str">
        <f aca="false">IF(D477="","",DATE(YEAR(D477),MONTH(D477),1))</f>
        <v/>
      </c>
      <c r="O477" s="35" t="str">
        <f aca="false">IF(A477="","",IF(ISNUMBER(I477),I477,0))</f>
        <v/>
      </c>
      <c r="P477" s="35" t="str">
        <f aca="false">IF(A477="","",F477+O477+K477)</f>
        <v/>
      </c>
      <c r="Q477" s="36" t="str">
        <f aca="false">IF(A477="","",IF(P477-L477=M477,"OK","Divergente"))</f>
        <v/>
      </c>
    </row>
    <row r="478" customFormat="false" ht="15" hidden="false" customHeight="false" outlineLevel="0" collapsed="false">
      <c r="N478" s="34" t="str">
        <f aca="false">IF(D478="","",DATE(YEAR(D478),MONTH(D478),1))</f>
        <v/>
      </c>
      <c r="O478" s="35" t="str">
        <f aca="false">IF(A478="","",IF(ISNUMBER(I478),I478,0))</f>
        <v/>
      </c>
      <c r="P478" s="35" t="str">
        <f aca="false">IF(A478="","",F478+O478+K478)</f>
        <v/>
      </c>
      <c r="Q478" s="36" t="str">
        <f aca="false">IF(A478="","",IF(P478-L478=M478,"OK","Divergente"))</f>
        <v/>
      </c>
    </row>
    <row r="479" customFormat="false" ht="15" hidden="false" customHeight="false" outlineLevel="0" collapsed="false">
      <c r="N479" s="34" t="str">
        <f aca="false">IF(D479="","",DATE(YEAR(D479),MONTH(D479),1))</f>
        <v/>
      </c>
      <c r="O479" s="35" t="str">
        <f aca="false">IF(A479="","",IF(ISNUMBER(I479),I479,0))</f>
        <v/>
      </c>
      <c r="P479" s="35" t="str">
        <f aca="false">IF(A479="","",F479+O479+K479)</f>
        <v/>
      </c>
      <c r="Q479" s="36" t="str">
        <f aca="false">IF(A479="","",IF(P479-L479=M479,"OK","Divergente"))</f>
        <v/>
      </c>
    </row>
    <row r="480" customFormat="false" ht="15" hidden="false" customHeight="false" outlineLevel="0" collapsed="false">
      <c r="N480" s="34" t="str">
        <f aca="false">IF(D480="","",DATE(YEAR(D480),MONTH(D480),1))</f>
        <v/>
      </c>
      <c r="O480" s="35" t="str">
        <f aca="false">IF(A480="","",IF(ISNUMBER(I480),I480,0))</f>
        <v/>
      </c>
      <c r="P480" s="35" t="str">
        <f aca="false">IF(A480="","",F480+O480+K480)</f>
        <v/>
      </c>
      <c r="Q480" s="36" t="str">
        <f aca="false">IF(A480="","",IF(P480-L480=M480,"OK","Divergente"))</f>
        <v/>
      </c>
    </row>
    <row r="481" customFormat="false" ht="15" hidden="false" customHeight="false" outlineLevel="0" collapsed="false">
      <c r="N481" s="34" t="str">
        <f aca="false">IF(D481="","",DATE(YEAR(D481),MONTH(D481),1))</f>
        <v/>
      </c>
      <c r="O481" s="35" t="str">
        <f aca="false">IF(A481="","",IF(ISNUMBER(I481),I481,0))</f>
        <v/>
      </c>
      <c r="P481" s="35" t="str">
        <f aca="false">IF(A481="","",F481+O481+K481)</f>
        <v/>
      </c>
      <c r="Q481" s="36" t="str">
        <f aca="false">IF(A481="","",IF(P481-L481=M481,"OK","Divergente"))</f>
        <v/>
      </c>
    </row>
    <row r="482" customFormat="false" ht="15" hidden="false" customHeight="false" outlineLevel="0" collapsed="false">
      <c r="N482" s="34" t="str">
        <f aca="false">IF(D482="","",DATE(YEAR(D482),MONTH(D482),1))</f>
        <v/>
      </c>
      <c r="O482" s="35" t="str">
        <f aca="false">IF(A482="","",IF(ISNUMBER(I482),I482,0))</f>
        <v/>
      </c>
      <c r="P482" s="35" t="str">
        <f aca="false">IF(A482="","",F482+O482+K482)</f>
        <v/>
      </c>
      <c r="Q482" s="36" t="str">
        <f aca="false">IF(A482="","",IF(P482-L482=M482,"OK","Divergente"))</f>
        <v/>
      </c>
    </row>
    <row r="483" customFormat="false" ht="15" hidden="false" customHeight="false" outlineLevel="0" collapsed="false">
      <c r="N483" s="34" t="str">
        <f aca="false">IF(D483="","",DATE(YEAR(D483),MONTH(D483),1))</f>
        <v/>
      </c>
      <c r="O483" s="35" t="str">
        <f aca="false">IF(A483="","",IF(ISNUMBER(I483),I483,0))</f>
        <v/>
      </c>
      <c r="P483" s="35" t="str">
        <f aca="false">IF(A483="","",F483+O483+K483)</f>
        <v/>
      </c>
      <c r="Q483" s="36" t="str">
        <f aca="false">IF(A483="","",IF(P483-L483=M483,"OK","Divergente"))</f>
        <v/>
      </c>
    </row>
    <row r="484" customFormat="false" ht="15" hidden="false" customHeight="false" outlineLevel="0" collapsed="false">
      <c r="N484" s="34" t="str">
        <f aca="false">IF(D484="","",DATE(YEAR(D484),MONTH(D484),1))</f>
        <v/>
      </c>
      <c r="O484" s="35" t="str">
        <f aca="false">IF(A484="","",IF(ISNUMBER(I484),I484,0))</f>
        <v/>
      </c>
      <c r="P484" s="35" t="str">
        <f aca="false">IF(A484="","",F484+O484+K484)</f>
        <v/>
      </c>
      <c r="Q484" s="36" t="str">
        <f aca="false">IF(A484="","",IF(P484-L484=M484,"OK","Divergente"))</f>
        <v/>
      </c>
    </row>
    <row r="485" customFormat="false" ht="15" hidden="false" customHeight="false" outlineLevel="0" collapsed="false">
      <c r="N485" s="34" t="str">
        <f aca="false">IF(D485="","",DATE(YEAR(D485),MONTH(D485),1))</f>
        <v/>
      </c>
      <c r="O485" s="35" t="str">
        <f aca="false">IF(A485="","",IF(ISNUMBER(I485),I485,0))</f>
        <v/>
      </c>
      <c r="P485" s="35" t="str">
        <f aca="false">IF(A485="","",F485+O485+K485)</f>
        <v/>
      </c>
      <c r="Q485" s="36" t="str">
        <f aca="false">IF(A485="","",IF(P485-L485=M485,"OK","Divergente"))</f>
        <v/>
      </c>
    </row>
    <row r="486" customFormat="false" ht="15" hidden="false" customHeight="false" outlineLevel="0" collapsed="false">
      <c r="N486" s="34" t="str">
        <f aca="false">IF(D486="","",DATE(YEAR(D486),MONTH(D486),1))</f>
        <v/>
      </c>
      <c r="O486" s="35" t="str">
        <f aca="false">IF(A486="","",IF(ISNUMBER(I486),I486,0))</f>
        <v/>
      </c>
      <c r="P486" s="35" t="str">
        <f aca="false">IF(A486="","",F486+O486+K486)</f>
        <v/>
      </c>
      <c r="Q486" s="36" t="str">
        <f aca="false">IF(A486="","",IF(P486-L486=M486,"OK","Divergente"))</f>
        <v/>
      </c>
    </row>
    <row r="487" customFormat="false" ht="15" hidden="false" customHeight="false" outlineLevel="0" collapsed="false">
      <c r="N487" s="34" t="str">
        <f aca="false">IF(D487="","",DATE(YEAR(D487),MONTH(D487),1))</f>
        <v/>
      </c>
      <c r="O487" s="35" t="str">
        <f aca="false">IF(A487="","",IF(ISNUMBER(I487),I487,0))</f>
        <v/>
      </c>
      <c r="P487" s="35" t="str">
        <f aca="false">IF(A487="","",F487+O487+K487)</f>
        <v/>
      </c>
      <c r="Q487" s="36" t="str">
        <f aca="false">IF(A487="","",IF(P487-L487=M487,"OK","Divergente"))</f>
        <v/>
      </c>
    </row>
    <row r="488" customFormat="false" ht="15" hidden="false" customHeight="false" outlineLevel="0" collapsed="false">
      <c r="N488" s="34" t="str">
        <f aca="false">IF(D488="","",DATE(YEAR(D488),MONTH(D488),1))</f>
        <v/>
      </c>
      <c r="O488" s="35" t="str">
        <f aca="false">IF(A488="","",IF(ISNUMBER(I488),I488,0))</f>
        <v/>
      </c>
      <c r="P488" s="35" t="str">
        <f aca="false">IF(A488="","",F488+O488+K488)</f>
        <v/>
      </c>
      <c r="Q488" s="36" t="str">
        <f aca="false">IF(A488="","",IF(P488-L488=M488,"OK","Divergente"))</f>
        <v/>
      </c>
    </row>
    <row r="489" customFormat="false" ht="15" hidden="false" customHeight="false" outlineLevel="0" collapsed="false">
      <c r="N489" s="34" t="str">
        <f aca="false">IF(D489="","",DATE(YEAR(D489),MONTH(D489),1))</f>
        <v/>
      </c>
      <c r="O489" s="35" t="str">
        <f aca="false">IF(A489="","",IF(ISNUMBER(I489),I489,0))</f>
        <v/>
      </c>
      <c r="P489" s="35" t="str">
        <f aca="false">IF(A489="","",F489+O489+K489)</f>
        <v/>
      </c>
      <c r="Q489" s="36" t="str">
        <f aca="false">IF(A489="","",IF(P489-L489=M489,"OK","Divergente"))</f>
        <v/>
      </c>
    </row>
    <row r="490" customFormat="false" ht="15" hidden="false" customHeight="false" outlineLevel="0" collapsed="false">
      <c r="N490" s="34" t="str">
        <f aca="false">IF(D490="","",DATE(YEAR(D490),MONTH(D490),1))</f>
        <v/>
      </c>
      <c r="O490" s="35" t="str">
        <f aca="false">IF(A490="","",IF(ISNUMBER(I490),I490,0))</f>
        <v/>
      </c>
      <c r="P490" s="35" t="str">
        <f aca="false">IF(A490="","",F490+O490+K490)</f>
        <v/>
      </c>
      <c r="Q490" s="36" t="str">
        <f aca="false">IF(A490="","",IF(P490-L490=M490,"OK","Divergente"))</f>
        <v/>
      </c>
    </row>
    <row r="491" customFormat="false" ht="15" hidden="false" customHeight="false" outlineLevel="0" collapsed="false">
      <c r="N491" s="34" t="str">
        <f aca="false">IF(D491="","",DATE(YEAR(D491),MONTH(D491),1))</f>
        <v/>
      </c>
      <c r="O491" s="35" t="str">
        <f aca="false">IF(A491="","",IF(ISNUMBER(I491),I491,0))</f>
        <v/>
      </c>
      <c r="P491" s="35" t="str">
        <f aca="false">IF(A491="","",F491+O491+K491)</f>
        <v/>
      </c>
      <c r="Q491" s="36" t="str">
        <f aca="false">IF(A491="","",IF(P491-L491=M491,"OK","Divergente"))</f>
        <v/>
      </c>
    </row>
    <row r="492" customFormat="false" ht="15" hidden="false" customHeight="false" outlineLevel="0" collapsed="false">
      <c r="N492" s="34" t="str">
        <f aca="false">IF(D492="","",DATE(YEAR(D492),MONTH(D492),1))</f>
        <v/>
      </c>
      <c r="O492" s="35" t="str">
        <f aca="false">IF(A492="","",IF(ISNUMBER(I492),I492,0))</f>
        <v/>
      </c>
      <c r="P492" s="35" t="str">
        <f aca="false">IF(A492="","",F492+O492+K492)</f>
        <v/>
      </c>
      <c r="Q492" s="36" t="str">
        <f aca="false">IF(A492="","",IF(P492-L492=M492,"OK","Divergente"))</f>
        <v/>
      </c>
    </row>
    <row r="493" customFormat="false" ht="15" hidden="false" customHeight="false" outlineLevel="0" collapsed="false">
      <c r="N493" s="34" t="str">
        <f aca="false">IF(D493="","",DATE(YEAR(D493),MONTH(D493),1))</f>
        <v/>
      </c>
      <c r="O493" s="35" t="str">
        <f aca="false">IF(A493="","",IF(ISNUMBER(I493),I493,0))</f>
        <v/>
      </c>
      <c r="P493" s="35" t="str">
        <f aca="false">IF(A493="","",F493+O493+K493)</f>
        <v/>
      </c>
      <c r="Q493" s="36" t="str">
        <f aca="false">IF(A493="","",IF(P493-L493=M493,"OK","Divergente"))</f>
        <v/>
      </c>
    </row>
    <row r="494" customFormat="false" ht="15" hidden="false" customHeight="false" outlineLevel="0" collapsed="false">
      <c r="N494" s="34" t="str">
        <f aca="false">IF(D494="","",DATE(YEAR(D494),MONTH(D494),1))</f>
        <v/>
      </c>
      <c r="O494" s="35" t="str">
        <f aca="false">IF(A494="","",IF(ISNUMBER(I494),I494,0))</f>
        <v/>
      </c>
      <c r="P494" s="35" t="str">
        <f aca="false">IF(A494="","",F494+O494+K494)</f>
        <v/>
      </c>
      <c r="Q494" s="36" t="str">
        <f aca="false">IF(A494="","",IF(P494-L494=M494,"OK","Divergente"))</f>
        <v/>
      </c>
    </row>
    <row r="495" customFormat="false" ht="15" hidden="false" customHeight="false" outlineLevel="0" collapsed="false">
      <c r="N495" s="34" t="str">
        <f aca="false">IF(D495="","",DATE(YEAR(D495),MONTH(D495),1))</f>
        <v/>
      </c>
      <c r="O495" s="35" t="str">
        <f aca="false">IF(A495="","",IF(ISNUMBER(I495),I495,0))</f>
        <v/>
      </c>
      <c r="P495" s="35" t="str">
        <f aca="false">IF(A495="","",F495+O495+K495)</f>
        <v/>
      </c>
      <c r="Q495" s="36" t="str">
        <f aca="false">IF(A495="","",IF(P495-L495=M495,"OK","Divergente"))</f>
        <v/>
      </c>
    </row>
    <row r="496" customFormat="false" ht="15" hidden="false" customHeight="false" outlineLevel="0" collapsed="false">
      <c r="N496" s="34" t="str">
        <f aca="false">IF(D496="","",DATE(YEAR(D496),MONTH(D496),1))</f>
        <v/>
      </c>
      <c r="O496" s="35" t="str">
        <f aca="false">IF(A496="","",IF(ISNUMBER(I496),I496,0))</f>
        <v/>
      </c>
      <c r="P496" s="35" t="str">
        <f aca="false">IF(A496="","",F496+O496+K496)</f>
        <v/>
      </c>
      <c r="Q496" s="36" t="str">
        <f aca="false">IF(A496="","",IF(P496-L496=M496,"OK","Divergente"))</f>
        <v/>
      </c>
    </row>
    <row r="497" customFormat="false" ht="15" hidden="false" customHeight="false" outlineLevel="0" collapsed="false">
      <c r="N497" s="34" t="str">
        <f aca="false">IF(D497="","",DATE(YEAR(D497),MONTH(D497),1))</f>
        <v/>
      </c>
      <c r="O497" s="35" t="str">
        <f aca="false">IF(A497="","",IF(ISNUMBER(I497),I497,0))</f>
        <v/>
      </c>
      <c r="P497" s="35" t="str">
        <f aca="false">IF(A497="","",F497+O497+K497)</f>
        <v/>
      </c>
      <c r="Q497" s="36" t="str">
        <f aca="false">IF(A497="","",IF(P497-L497=M497,"OK","Divergente"))</f>
        <v/>
      </c>
    </row>
    <row r="498" customFormat="false" ht="15" hidden="false" customHeight="false" outlineLevel="0" collapsed="false">
      <c r="N498" s="34" t="str">
        <f aca="false">IF(D498="","",DATE(YEAR(D498),MONTH(D498),1))</f>
        <v/>
      </c>
      <c r="O498" s="35" t="str">
        <f aca="false">IF(A498="","",IF(ISNUMBER(I498),I498,0))</f>
        <v/>
      </c>
      <c r="P498" s="35" t="str">
        <f aca="false">IF(A498="","",F498+O498+K498)</f>
        <v/>
      </c>
      <c r="Q498" s="36" t="str">
        <f aca="false">IF(A498="","",IF(P498-L498=M498,"OK","Divergente"))</f>
        <v/>
      </c>
    </row>
    <row r="499" customFormat="false" ht="15" hidden="false" customHeight="false" outlineLevel="0" collapsed="false">
      <c r="N499" s="34" t="str">
        <f aca="false">IF(D499="","",DATE(YEAR(D499),MONTH(D499),1))</f>
        <v/>
      </c>
      <c r="O499" s="35" t="str">
        <f aca="false">IF(A499="","",IF(ISNUMBER(I499),I499,0))</f>
        <v/>
      </c>
      <c r="P499" s="35" t="str">
        <f aca="false">IF(A499="","",F499+O499+K499)</f>
        <v/>
      </c>
      <c r="Q499" s="36" t="str">
        <f aca="false">IF(A499="","",IF(P499-L499=M499,"OK","Divergente"))</f>
        <v/>
      </c>
    </row>
    <row r="500" customFormat="false" ht="15" hidden="false" customHeight="false" outlineLevel="0" collapsed="false">
      <c r="N500" s="34" t="str">
        <f aca="false">IF(D500="","",DATE(YEAR(D500),MONTH(D500),1))</f>
        <v/>
      </c>
      <c r="O500" s="35" t="str">
        <f aca="false">IF(A500="","",IF(ISNUMBER(I500),I500,0))</f>
        <v/>
      </c>
      <c r="P500" s="35" t="str">
        <f aca="false">IF(A500="","",F500+O500+K500)</f>
        <v/>
      </c>
      <c r="Q500" s="36" t="str">
        <f aca="false">IF(A500="","",IF(P500-L500=M500,"OK","Divergente"))</f>
        <v/>
      </c>
    </row>
    <row r="501" customFormat="false" ht="15" hidden="false" customHeight="false" outlineLevel="0" collapsed="false">
      <c r="N501" s="34" t="str">
        <f aca="false">IF(D501="","",DATE(YEAR(D501),MONTH(D501),1))</f>
        <v/>
      </c>
      <c r="O501" s="35" t="str">
        <f aca="false">IF(A501="","",IF(ISNUMBER(I501),I501,0))</f>
        <v/>
      </c>
      <c r="P501" s="35" t="str">
        <f aca="false">IF(A501="","",F501+O501+K501)</f>
        <v/>
      </c>
      <c r="Q501" s="36" t="str">
        <f aca="false">IF(A501="","",IF(P501-L501=M501,"OK","Divergente"))</f>
        <v/>
      </c>
    </row>
    <row r="502" customFormat="false" ht="15" hidden="false" customHeight="false" outlineLevel="0" collapsed="false">
      <c r="N502" s="34" t="str">
        <f aca="false">IF(D502="","",DATE(YEAR(D502),MONTH(D502),1))</f>
        <v/>
      </c>
      <c r="O502" s="35" t="str">
        <f aca="false">IF(A502="","",IF(ISNUMBER(I502),I502,0))</f>
        <v/>
      </c>
      <c r="P502" s="35" t="str">
        <f aca="false">IF(A502="","",F502+O502+K502)</f>
        <v/>
      </c>
      <c r="Q502" s="36" t="str">
        <f aca="false">IF(A502="","",IF(P502-L502=M502,"OK","Divergente"))</f>
        <v/>
      </c>
    </row>
    <row r="503" customFormat="false" ht="15" hidden="false" customHeight="false" outlineLevel="0" collapsed="false">
      <c r="N503" s="34" t="str">
        <f aca="false">IF(D503="","",DATE(YEAR(D503),MONTH(D503),1))</f>
        <v/>
      </c>
      <c r="O503" s="35" t="str">
        <f aca="false">IF(A503="","",IF(ISNUMBER(I503),I503,0))</f>
        <v/>
      </c>
      <c r="P503" s="35" t="str">
        <f aca="false">IF(A503="","",F503+O503+K503)</f>
        <v/>
      </c>
      <c r="Q503" s="36" t="str">
        <f aca="false">IF(A503="","",IF(P503-L503=M503,"OK","Divergente"))</f>
        <v/>
      </c>
    </row>
    <row r="504" customFormat="false" ht="15" hidden="false" customHeight="false" outlineLevel="0" collapsed="false">
      <c r="N504" s="34" t="str">
        <f aca="false">IF(D504="","",DATE(YEAR(D504),MONTH(D504),1))</f>
        <v/>
      </c>
      <c r="O504" s="35" t="str">
        <f aca="false">IF(A504="","",IF(ISNUMBER(I504),I504,0))</f>
        <v/>
      </c>
      <c r="P504" s="35" t="str">
        <f aca="false">IF(A504="","",F504+O504+K504)</f>
        <v/>
      </c>
      <c r="Q504" s="36" t="str">
        <f aca="false">IF(A504="","",IF(P504-L504=M504,"OK","Divergente"))</f>
        <v/>
      </c>
    </row>
    <row r="505" customFormat="false" ht="15" hidden="false" customHeight="false" outlineLevel="0" collapsed="false">
      <c r="N505" s="34" t="str">
        <f aca="false">IF(D505="","",DATE(YEAR(D505),MONTH(D505),1))</f>
        <v/>
      </c>
      <c r="O505" s="35" t="str">
        <f aca="false">IF(A505="","",IF(ISNUMBER(I505),I505,0))</f>
        <v/>
      </c>
      <c r="P505" s="35" t="str">
        <f aca="false">IF(A505="","",F505+O505+K505)</f>
        <v/>
      </c>
      <c r="Q505" s="36" t="str">
        <f aca="false">IF(A505="","",IF(P505-L505=M505,"OK","Divergente"))</f>
        <v/>
      </c>
    </row>
    <row r="506" customFormat="false" ht="15" hidden="false" customHeight="false" outlineLevel="0" collapsed="false">
      <c r="N506" s="34" t="str">
        <f aca="false">IF(D506="","",DATE(YEAR(D506),MONTH(D506),1))</f>
        <v/>
      </c>
      <c r="O506" s="35" t="str">
        <f aca="false">IF(A506="","",IF(ISNUMBER(I506),I506,0))</f>
        <v/>
      </c>
      <c r="P506" s="35" t="str">
        <f aca="false">IF(A506="","",F506+O506+K506)</f>
        <v/>
      </c>
      <c r="Q506" s="36" t="str">
        <f aca="false">IF(A506="","",IF(P506-L506=M506,"OK","Divergente"))</f>
        <v/>
      </c>
    </row>
    <row r="507" customFormat="false" ht="15" hidden="false" customHeight="false" outlineLevel="0" collapsed="false">
      <c r="N507" s="34" t="str">
        <f aca="false">IF(D507="","",DATE(YEAR(D507),MONTH(D507),1))</f>
        <v/>
      </c>
      <c r="O507" s="35" t="str">
        <f aca="false">IF(A507="","",IF(ISNUMBER(I507),I507,0))</f>
        <v/>
      </c>
      <c r="P507" s="35" t="str">
        <f aca="false">IF(A507="","",F507+O507+K507)</f>
        <v/>
      </c>
      <c r="Q507" s="36" t="str">
        <f aca="false">IF(A507="","",IF(P507-L507=M507,"OK","Divergente"))</f>
        <v/>
      </c>
    </row>
    <row r="508" customFormat="false" ht="15" hidden="false" customHeight="false" outlineLevel="0" collapsed="false">
      <c r="N508" s="34" t="str">
        <f aca="false">IF(D508="","",DATE(YEAR(D508),MONTH(D508),1))</f>
        <v/>
      </c>
      <c r="O508" s="35" t="str">
        <f aca="false">IF(A508="","",IF(ISNUMBER(I508),I508,0))</f>
        <v/>
      </c>
      <c r="P508" s="35" t="str">
        <f aca="false">IF(A508="","",F508+O508+K508)</f>
        <v/>
      </c>
      <c r="Q508" s="36" t="str">
        <f aca="false">IF(A508="","",IF(P508-L508=M508,"OK","Divergente"))</f>
        <v/>
      </c>
    </row>
    <row r="509" customFormat="false" ht="15" hidden="false" customHeight="false" outlineLevel="0" collapsed="false">
      <c r="N509" s="34" t="str">
        <f aca="false">IF(D509="","",DATE(YEAR(D509),MONTH(D509),1))</f>
        <v/>
      </c>
      <c r="O509" s="35" t="str">
        <f aca="false">IF(A509="","",IF(ISNUMBER(I509),I509,0))</f>
        <v/>
      </c>
      <c r="P509" s="35" t="str">
        <f aca="false">IF(A509="","",F509+O509+K509)</f>
        <v/>
      </c>
      <c r="Q509" s="36" t="str">
        <f aca="false">IF(A509="","",IF(P509-L509=M509,"OK","Divergente"))</f>
        <v/>
      </c>
    </row>
    <row r="510" customFormat="false" ht="15" hidden="false" customHeight="false" outlineLevel="0" collapsed="false">
      <c r="N510" s="34" t="str">
        <f aca="false">IF(D510="","",DATE(YEAR(D510),MONTH(D510),1))</f>
        <v/>
      </c>
      <c r="O510" s="35" t="str">
        <f aca="false">IF(A510="","",IF(ISNUMBER(I510),I510,0))</f>
        <v/>
      </c>
      <c r="P510" s="35" t="str">
        <f aca="false">IF(A510="","",F510+O510+K510)</f>
        <v/>
      </c>
      <c r="Q510" s="36" t="str">
        <f aca="false">IF(A510="","",IF(P510-L510=M510,"OK","Divergente"))</f>
        <v/>
      </c>
    </row>
    <row r="511" customFormat="false" ht="15" hidden="false" customHeight="false" outlineLevel="0" collapsed="false">
      <c r="N511" s="34" t="str">
        <f aca="false">IF(D511="","",DATE(YEAR(D511),MONTH(D511),1))</f>
        <v/>
      </c>
      <c r="O511" s="35" t="str">
        <f aca="false">IF(A511="","",IF(ISNUMBER(I511),I511,0))</f>
        <v/>
      </c>
      <c r="P511" s="35" t="str">
        <f aca="false">IF(A511="","",F511+O511+K511)</f>
        <v/>
      </c>
      <c r="Q511" s="36" t="str">
        <f aca="false">IF(A511="","",IF(P511-L511=M511,"OK","Divergente"))</f>
        <v/>
      </c>
    </row>
    <row r="512" customFormat="false" ht="15" hidden="false" customHeight="false" outlineLevel="0" collapsed="false">
      <c r="N512" s="34" t="str">
        <f aca="false">IF(D512="","",DATE(YEAR(D512),MONTH(D512),1))</f>
        <v/>
      </c>
      <c r="O512" s="35" t="str">
        <f aca="false">IF(A512="","",IF(ISNUMBER(I512),I512,0))</f>
        <v/>
      </c>
      <c r="P512" s="35" t="str">
        <f aca="false">IF(A512="","",F512+O512+K512)</f>
        <v/>
      </c>
      <c r="Q512" s="36" t="str">
        <f aca="false">IF(A512="","",IF(P512-L512=M512,"OK","Divergente"))</f>
        <v/>
      </c>
    </row>
    <row r="513" customFormat="false" ht="15" hidden="false" customHeight="false" outlineLevel="0" collapsed="false">
      <c r="N513" s="34" t="str">
        <f aca="false">IF(D513="","",DATE(YEAR(D513),MONTH(D513),1))</f>
        <v/>
      </c>
      <c r="O513" s="35" t="str">
        <f aca="false">IF(A513="","",IF(ISNUMBER(I513),I513,0))</f>
        <v/>
      </c>
      <c r="P513" s="35" t="str">
        <f aca="false">IF(A513="","",F513+O513+K513)</f>
        <v/>
      </c>
      <c r="Q513" s="36" t="str">
        <f aca="false">IF(A513="","",IF(P513-L513=M513,"OK","Divergente"))</f>
        <v/>
      </c>
    </row>
    <row r="514" customFormat="false" ht="15" hidden="false" customHeight="false" outlineLevel="0" collapsed="false">
      <c r="N514" s="34" t="str">
        <f aca="false">IF(D514="","",DATE(YEAR(D514),MONTH(D514),1))</f>
        <v/>
      </c>
      <c r="O514" s="35" t="str">
        <f aca="false">IF(A514="","",IF(ISNUMBER(I514),I514,0))</f>
        <v/>
      </c>
      <c r="P514" s="35" t="str">
        <f aca="false">IF(A514="","",F514+O514+K514)</f>
        <v/>
      </c>
      <c r="Q514" s="36" t="str">
        <f aca="false">IF(A514="","",IF(P514-L514=M514,"OK","Divergente"))</f>
        <v/>
      </c>
    </row>
    <row r="515" customFormat="false" ht="15" hidden="false" customHeight="false" outlineLevel="0" collapsed="false">
      <c r="N515" s="34" t="str">
        <f aca="false">IF(D515="","",DATE(YEAR(D515),MONTH(D515),1))</f>
        <v/>
      </c>
      <c r="O515" s="35" t="str">
        <f aca="false">IF(A515="","",IF(ISNUMBER(I515),I515,0))</f>
        <v/>
      </c>
      <c r="P515" s="35" t="str">
        <f aca="false">IF(A515="","",F515+O515+K515)</f>
        <v/>
      </c>
      <c r="Q515" s="36" t="str">
        <f aca="false">IF(A515="","",IF(P515-L515=M515,"OK","Divergente"))</f>
        <v/>
      </c>
    </row>
    <row r="516" customFormat="false" ht="15" hidden="false" customHeight="false" outlineLevel="0" collapsed="false">
      <c r="N516" s="34" t="str">
        <f aca="false">IF(D516="","",DATE(YEAR(D516),MONTH(D516),1))</f>
        <v/>
      </c>
      <c r="O516" s="35" t="str">
        <f aca="false">IF(A516="","",IF(ISNUMBER(I516),I516,0))</f>
        <v/>
      </c>
      <c r="P516" s="35" t="str">
        <f aca="false">IF(A516="","",F516+O516+K516)</f>
        <v/>
      </c>
      <c r="Q516" s="36" t="str">
        <f aca="false">IF(A516="","",IF(P516-L516=M516,"OK","Divergente"))</f>
        <v/>
      </c>
    </row>
    <row r="517" customFormat="false" ht="15" hidden="false" customHeight="false" outlineLevel="0" collapsed="false">
      <c r="N517" s="34" t="str">
        <f aca="false">IF(D517="","",DATE(YEAR(D517),MONTH(D517),1))</f>
        <v/>
      </c>
      <c r="O517" s="35" t="str">
        <f aca="false">IF(A517="","",IF(ISNUMBER(I517),I517,0))</f>
        <v/>
      </c>
      <c r="P517" s="35" t="str">
        <f aca="false">IF(A517="","",F517+O517+K517)</f>
        <v/>
      </c>
      <c r="Q517" s="36" t="str">
        <f aca="false">IF(A517="","",IF(P517-L517=M517,"OK","Divergente"))</f>
        <v/>
      </c>
    </row>
    <row r="518" customFormat="false" ht="15" hidden="false" customHeight="false" outlineLevel="0" collapsed="false">
      <c r="N518" s="34" t="str">
        <f aca="false">IF(D518="","",DATE(YEAR(D518),MONTH(D518),1))</f>
        <v/>
      </c>
      <c r="O518" s="35" t="str">
        <f aca="false">IF(A518="","",IF(ISNUMBER(I518),I518,0))</f>
        <v/>
      </c>
      <c r="P518" s="35" t="str">
        <f aca="false">IF(A518="","",F518+O518+K518)</f>
        <v/>
      </c>
      <c r="Q518" s="36" t="str">
        <f aca="false">IF(A518="","",IF(P518-L518=M518,"OK","Divergente"))</f>
        <v/>
      </c>
    </row>
    <row r="519" customFormat="false" ht="15" hidden="false" customHeight="false" outlineLevel="0" collapsed="false">
      <c r="N519" s="34" t="str">
        <f aca="false">IF(D519="","",DATE(YEAR(D519),MONTH(D519),1))</f>
        <v/>
      </c>
      <c r="O519" s="35" t="str">
        <f aca="false">IF(A519="","",IF(ISNUMBER(I519),I519,0))</f>
        <v/>
      </c>
      <c r="P519" s="35" t="str">
        <f aca="false">IF(A519="","",F519+O519+K519)</f>
        <v/>
      </c>
      <c r="Q519" s="36" t="str">
        <f aca="false">IF(A519="","",IF(P519-L519=M519,"OK","Divergente"))</f>
        <v/>
      </c>
    </row>
    <row r="520" customFormat="false" ht="15" hidden="false" customHeight="false" outlineLevel="0" collapsed="false">
      <c r="N520" s="34" t="str">
        <f aca="false">IF(D520="","",DATE(YEAR(D520),MONTH(D520),1))</f>
        <v/>
      </c>
      <c r="O520" s="35" t="str">
        <f aca="false">IF(A520="","",IF(ISNUMBER(I520),I520,0))</f>
        <v/>
      </c>
      <c r="P520" s="35" t="str">
        <f aca="false">IF(A520="","",F520+O520+K520)</f>
        <v/>
      </c>
      <c r="Q520" s="36" t="str">
        <f aca="false">IF(A520="","",IF(P520-L520=M520,"OK","Divergente"))</f>
        <v/>
      </c>
    </row>
    <row r="521" customFormat="false" ht="15" hidden="false" customHeight="false" outlineLevel="0" collapsed="false">
      <c r="N521" s="34" t="str">
        <f aca="false">IF(D521="","",DATE(YEAR(D521),MONTH(D521),1))</f>
        <v/>
      </c>
      <c r="O521" s="35" t="str">
        <f aca="false">IF(A521="","",IF(ISNUMBER(I521),I521,0))</f>
        <v/>
      </c>
      <c r="P521" s="35" t="str">
        <f aca="false">IF(A521="","",F521+O521+K521)</f>
        <v/>
      </c>
      <c r="Q521" s="36" t="str">
        <f aca="false">IF(A521="","",IF(P521-L521=M521,"OK","Divergente"))</f>
        <v/>
      </c>
    </row>
    <row r="522" customFormat="false" ht="15" hidden="false" customHeight="false" outlineLevel="0" collapsed="false">
      <c r="N522" s="34" t="str">
        <f aca="false">IF(D522="","",DATE(YEAR(D522),MONTH(D522),1))</f>
        <v/>
      </c>
      <c r="O522" s="35" t="str">
        <f aca="false">IF(A522="","",IF(ISNUMBER(I522),I522,0))</f>
        <v/>
      </c>
      <c r="P522" s="35" t="str">
        <f aca="false">IF(A522="","",F522+O522+K522)</f>
        <v/>
      </c>
      <c r="Q522" s="36" t="str">
        <f aca="false">IF(A522="","",IF(P522-L522=M522,"OK","Divergente"))</f>
        <v/>
      </c>
    </row>
    <row r="523" customFormat="false" ht="15" hidden="false" customHeight="false" outlineLevel="0" collapsed="false">
      <c r="N523" s="34" t="str">
        <f aca="false">IF(D523="","",DATE(YEAR(D523),MONTH(D523),1))</f>
        <v/>
      </c>
      <c r="O523" s="35" t="str">
        <f aca="false">IF(A523="","",IF(ISNUMBER(I523),I523,0))</f>
        <v/>
      </c>
      <c r="P523" s="35" t="str">
        <f aca="false">IF(A523="","",F523+O523+K523)</f>
        <v/>
      </c>
      <c r="Q523" s="36" t="str">
        <f aca="false">IF(A523="","",IF(P523-L523=M523,"OK","Divergente"))</f>
        <v/>
      </c>
    </row>
    <row r="524" customFormat="false" ht="15" hidden="false" customHeight="false" outlineLevel="0" collapsed="false">
      <c r="N524" s="34" t="str">
        <f aca="false">IF(D524="","",DATE(YEAR(D524),MONTH(D524),1))</f>
        <v/>
      </c>
      <c r="O524" s="35" t="str">
        <f aca="false">IF(A524="","",IF(ISNUMBER(I524),I524,0))</f>
        <v/>
      </c>
      <c r="P524" s="35" t="str">
        <f aca="false">IF(A524="","",F524+O524+K524)</f>
        <v/>
      </c>
      <c r="Q524" s="36" t="str">
        <f aca="false">IF(A524="","",IF(P524-L524=M524,"OK","Divergente"))</f>
        <v/>
      </c>
    </row>
    <row r="525" customFormat="false" ht="15" hidden="false" customHeight="false" outlineLevel="0" collapsed="false">
      <c r="N525" s="34" t="str">
        <f aca="false">IF(D525="","",DATE(YEAR(D525),MONTH(D525),1))</f>
        <v/>
      </c>
      <c r="O525" s="35" t="str">
        <f aca="false">IF(A525="","",IF(ISNUMBER(I525),I525,0))</f>
        <v/>
      </c>
      <c r="P525" s="35" t="str">
        <f aca="false">IF(A525="","",F525+O525+K525)</f>
        <v/>
      </c>
      <c r="Q525" s="36" t="str">
        <f aca="false">IF(A525="","",IF(P525-L525=M525,"OK","Divergente"))</f>
        <v/>
      </c>
    </row>
    <row r="526" customFormat="false" ht="15" hidden="false" customHeight="false" outlineLevel="0" collapsed="false">
      <c r="N526" s="34" t="str">
        <f aca="false">IF(D526="","",DATE(YEAR(D526),MONTH(D526),1))</f>
        <v/>
      </c>
      <c r="O526" s="35" t="str">
        <f aca="false">IF(A526="","",IF(ISNUMBER(I526),I526,0))</f>
        <v/>
      </c>
      <c r="P526" s="35" t="str">
        <f aca="false">IF(A526="","",F526+O526+K526)</f>
        <v/>
      </c>
      <c r="Q526" s="36" t="str">
        <f aca="false">IF(A526="","",IF(P526-L526=M526,"OK","Divergente"))</f>
        <v/>
      </c>
    </row>
    <row r="527" customFormat="false" ht="15" hidden="false" customHeight="false" outlineLevel="0" collapsed="false">
      <c r="N527" s="34" t="str">
        <f aca="false">IF(D527="","",DATE(YEAR(D527),MONTH(D527),1))</f>
        <v/>
      </c>
      <c r="O527" s="35" t="str">
        <f aca="false">IF(A527="","",IF(ISNUMBER(I527),I527,0))</f>
        <v/>
      </c>
      <c r="P527" s="35" t="str">
        <f aca="false">IF(A527="","",F527+O527+K527)</f>
        <v/>
      </c>
      <c r="Q527" s="36" t="str">
        <f aca="false">IF(A527="","",IF(P527-L527=M527,"OK","Divergente"))</f>
        <v/>
      </c>
    </row>
    <row r="528" customFormat="false" ht="15" hidden="false" customHeight="false" outlineLevel="0" collapsed="false">
      <c r="N528" s="34" t="str">
        <f aca="false">IF(D528="","",DATE(YEAR(D528),MONTH(D528),1))</f>
        <v/>
      </c>
      <c r="O528" s="35" t="str">
        <f aca="false">IF(A528="","",IF(ISNUMBER(I528),I528,0))</f>
        <v/>
      </c>
      <c r="P528" s="35" t="str">
        <f aca="false">IF(A528="","",F528+O528+K528)</f>
        <v/>
      </c>
      <c r="Q528" s="36" t="str">
        <f aca="false">IF(A528="","",IF(P528-L528=M528,"OK","Divergente"))</f>
        <v/>
      </c>
    </row>
    <row r="529" customFormat="false" ht="15" hidden="false" customHeight="false" outlineLevel="0" collapsed="false">
      <c r="N529" s="34" t="str">
        <f aca="false">IF(D529="","",DATE(YEAR(D529),MONTH(D529),1))</f>
        <v/>
      </c>
      <c r="O529" s="35" t="str">
        <f aca="false">IF(A529="","",IF(ISNUMBER(I529),I529,0))</f>
        <v/>
      </c>
      <c r="P529" s="35" t="str">
        <f aca="false">IF(A529="","",F529+O529+K529)</f>
        <v/>
      </c>
      <c r="Q529" s="36" t="str">
        <f aca="false">IF(A529="","",IF(P529-L529=M529,"OK","Divergente"))</f>
        <v/>
      </c>
    </row>
    <row r="530" customFormat="false" ht="15" hidden="false" customHeight="false" outlineLevel="0" collapsed="false">
      <c r="N530" s="34" t="str">
        <f aca="false">IF(D530="","",DATE(YEAR(D530),MONTH(D530),1))</f>
        <v/>
      </c>
      <c r="O530" s="35" t="str">
        <f aca="false">IF(A530="","",IF(ISNUMBER(I530),I530,0))</f>
        <v/>
      </c>
      <c r="P530" s="35" t="str">
        <f aca="false">IF(A530="","",F530+O530+K530)</f>
        <v/>
      </c>
      <c r="Q530" s="36" t="str">
        <f aca="false">IF(A530="","",IF(P530-L530=M530,"OK","Divergente"))</f>
        <v/>
      </c>
    </row>
    <row r="531" customFormat="false" ht="15" hidden="false" customHeight="false" outlineLevel="0" collapsed="false">
      <c r="N531" s="34" t="str">
        <f aca="false">IF(D531="","",DATE(YEAR(D531),MONTH(D531),1))</f>
        <v/>
      </c>
      <c r="O531" s="35" t="str">
        <f aca="false">IF(A531="","",IF(ISNUMBER(I531),I531,0))</f>
        <v/>
      </c>
      <c r="P531" s="35" t="str">
        <f aca="false">IF(A531="","",F531+O531+K531)</f>
        <v/>
      </c>
      <c r="Q531" s="36" t="str">
        <f aca="false">IF(A531="","",IF(P531-L531=M531,"OK","Divergente"))</f>
        <v/>
      </c>
    </row>
    <row r="532" customFormat="false" ht="15" hidden="false" customHeight="false" outlineLevel="0" collapsed="false">
      <c r="N532" s="34" t="str">
        <f aca="false">IF(D532="","",DATE(YEAR(D532),MONTH(D532),1))</f>
        <v/>
      </c>
      <c r="O532" s="35" t="str">
        <f aca="false">IF(A532="","",IF(ISNUMBER(I532),I532,0))</f>
        <v/>
      </c>
      <c r="P532" s="35" t="str">
        <f aca="false">IF(A532="","",F532+O532+K532)</f>
        <v/>
      </c>
      <c r="Q532" s="36" t="str">
        <f aca="false">IF(A532="","",IF(P532-L532=M532,"OK","Divergente"))</f>
        <v/>
      </c>
    </row>
    <row r="533" customFormat="false" ht="15" hidden="false" customHeight="false" outlineLevel="0" collapsed="false">
      <c r="N533" s="34" t="str">
        <f aca="false">IF(D533="","",DATE(YEAR(D533),MONTH(D533),1))</f>
        <v/>
      </c>
      <c r="O533" s="35" t="str">
        <f aca="false">IF(A533="","",IF(ISNUMBER(I533),I533,0))</f>
        <v/>
      </c>
      <c r="P533" s="35" t="str">
        <f aca="false">IF(A533="","",F533+O533+K533)</f>
        <v/>
      </c>
      <c r="Q533" s="36" t="str">
        <f aca="false">IF(A533="","",IF(P533-L533=M533,"OK","Divergente"))</f>
        <v/>
      </c>
    </row>
    <row r="534" customFormat="false" ht="15" hidden="false" customHeight="false" outlineLevel="0" collapsed="false">
      <c r="N534" s="34" t="str">
        <f aca="false">IF(D534="","",DATE(YEAR(D534),MONTH(D534),1))</f>
        <v/>
      </c>
      <c r="O534" s="35" t="str">
        <f aca="false">IF(A534="","",IF(ISNUMBER(I534),I534,0))</f>
        <v/>
      </c>
      <c r="P534" s="35" t="str">
        <f aca="false">IF(A534="","",F534+O534+K534)</f>
        <v/>
      </c>
      <c r="Q534" s="36" t="str">
        <f aca="false">IF(A534="","",IF(P534-L534=M534,"OK","Divergente"))</f>
        <v/>
      </c>
    </row>
    <row r="535" customFormat="false" ht="15" hidden="false" customHeight="false" outlineLevel="0" collapsed="false">
      <c r="N535" s="34" t="str">
        <f aca="false">IF(D535="","",DATE(YEAR(D535),MONTH(D535),1))</f>
        <v/>
      </c>
      <c r="O535" s="35" t="str">
        <f aca="false">IF(A535="","",IF(ISNUMBER(I535),I535,0))</f>
        <v/>
      </c>
      <c r="P535" s="35" t="str">
        <f aca="false">IF(A535="","",F535+O535+K535)</f>
        <v/>
      </c>
      <c r="Q535" s="36" t="str">
        <f aca="false">IF(A535="","",IF(P535-L535=M535,"OK","Divergente"))</f>
        <v/>
      </c>
    </row>
    <row r="536" customFormat="false" ht="15" hidden="false" customHeight="false" outlineLevel="0" collapsed="false">
      <c r="N536" s="34" t="str">
        <f aca="false">IF(D536="","",DATE(YEAR(D536),MONTH(D536),1))</f>
        <v/>
      </c>
      <c r="O536" s="35" t="str">
        <f aca="false">IF(A536="","",IF(ISNUMBER(I536),I536,0))</f>
        <v/>
      </c>
      <c r="P536" s="35" t="str">
        <f aca="false">IF(A536="","",F536+O536+K536)</f>
        <v/>
      </c>
      <c r="Q536" s="36" t="str">
        <f aca="false">IF(A536="","",IF(P536-L536=M536,"OK","Divergente"))</f>
        <v/>
      </c>
    </row>
    <row r="537" customFormat="false" ht="15" hidden="false" customHeight="false" outlineLevel="0" collapsed="false">
      <c r="N537" s="34" t="str">
        <f aca="false">IF(D537="","",DATE(YEAR(D537),MONTH(D537),1))</f>
        <v/>
      </c>
      <c r="O537" s="35" t="str">
        <f aca="false">IF(A537="","",IF(ISNUMBER(I537),I537,0))</f>
        <v/>
      </c>
      <c r="P537" s="35" t="str">
        <f aca="false">IF(A537="","",F537+O537+K537)</f>
        <v/>
      </c>
      <c r="Q537" s="36" t="str">
        <f aca="false">IF(A537="","",IF(P537-L537=M537,"OK","Divergente"))</f>
        <v/>
      </c>
    </row>
    <row r="538" customFormat="false" ht="15" hidden="false" customHeight="false" outlineLevel="0" collapsed="false">
      <c r="N538" s="34" t="str">
        <f aca="false">IF(D538="","",DATE(YEAR(D538),MONTH(D538),1))</f>
        <v/>
      </c>
      <c r="O538" s="35" t="str">
        <f aca="false">IF(A538="","",IF(ISNUMBER(I538),I538,0))</f>
        <v/>
      </c>
      <c r="P538" s="35" t="str">
        <f aca="false">IF(A538="","",F538+O538+K538)</f>
        <v/>
      </c>
      <c r="Q538" s="36" t="str">
        <f aca="false">IF(A538="","",IF(P538-L538=M538,"OK","Divergente"))</f>
        <v/>
      </c>
    </row>
    <row r="539" customFormat="false" ht="15" hidden="false" customHeight="false" outlineLevel="0" collapsed="false">
      <c r="N539" s="34" t="str">
        <f aca="false">IF(D539="","",DATE(YEAR(D539),MONTH(D539),1))</f>
        <v/>
      </c>
      <c r="O539" s="35" t="str">
        <f aca="false">IF(A539="","",IF(ISNUMBER(I539),I539,0))</f>
        <v/>
      </c>
      <c r="P539" s="35" t="str">
        <f aca="false">IF(A539="","",F539+O539+K539)</f>
        <v/>
      </c>
      <c r="Q539" s="36" t="str">
        <f aca="false">IF(A539="","",IF(P539-L539=M539,"OK","Divergente"))</f>
        <v/>
      </c>
    </row>
    <row r="540" customFormat="false" ht="15" hidden="false" customHeight="false" outlineLevel="0" collapsed="false">
      <c r="N540" s="34" t="str">
        <f aca="false">IF(D540="","",DATE(YEAR(D540),MONTH(D540),1))</f>
        <v/>
      </c>
      <c r="O540" s="35" t="str">
        <f aca="false">IF(A540="","",IF(ISNUMBER(I540),I540,0))</f>
        <v/>
      </c>
      <c r="P540" s="35" t="str">
        <f aca="false">IF(A540="","",F540+O540+K540)</f>
        <v/>
      </c>
      <c r="Q540" s="36" t="str">
        <f aca="false">IF(A540="","",IF(P540-L540=M540,"OK","Divergente"))</f>
        <v/>
      </c>
    </row>
    <row r="541" customFormat="false" ht="15" hidden="false" customHeight="false" outlineLevel="0" collapsed="false">
      <c r="N541" s="34" t="str">
        <f aca="false">IF(D541="","",DATE(YEAR(D541),MONTH(D541),1))</f>
        <v/>
      </c>
      <c r="O541" s="35" t="str">
        <f aca="false">IF(A541="","",IF(ISNUMBER(I541),I541,0))</f>
        <v/>
      </c>
      <c r="P541" s="35" t="str">
        <f aca="false">IF(A541="","",F541+O541+K541)</f>
        <v/>
      </c>
      <c r="Q541" s="36" t="str">
        <f aca="false">IF(A541="","",IF(P541-L541=M541,"OK","Divergente"))</f>
        <v/>
      </c>
    </row>
    <row r="542" customFormat="false" ht="15" hidden="false" customHeight="false" outlineLevel="0" collapsed="false">
      <c r="N542" s="34" t="str">
        <f aca="false">IF(D542="","",DATE(YEAR(D542),MONTH(D542),1))</f>
        <v/>
      </c>
      <c r="O542" s="35" t="str">
        <f aca="false">IF(A542="","",IF(ISNUMBER(I542),I542,0))</f>
        <v/>
      </c>
      <c r="P542" s="35" t="str">
        <f aca="false">IF(A542="","",F542+O542+K542)</f>
        <v/>
      </c>
      <c r="Q542" s="36" t="str">
        <f aca="false">IF(A542="","",IF(P542-L542=M542,"OK","Divergente"))</f>
        <v/>
      </c>
    </row>
    <row r="543" customFormat="false" ht="15" hidden="false" customHeight="false" outlineLevel="0" collapsed="false">
      <c r="N543" s="34" t="str">
        <f aca="false">IF(D543="","",DATE(YEAR(D543),MONTH(D543),1))</f>
        <v/>
      </c>
      <c r="O543" s="35" t="str">
        <f aca="false">IF(A543="","",IF(ISNUMBER(I543),I543,0))</f>
        <v/>
      </c>
      <c r="P543" s="35" t="str">
        <f aca="false">IF(A543="","",F543+O543+K543)</f>
        <v/>
      </c>
      <c r="Q543" s="36" t="str">
        <f aca="false">IF(A543="","",IF(P543-L543=M543,"OK","Divergente"))</f>
        <v/>
      </c>
    </row>
    <row r="544" customFormat="false" ht="15" hidden="false" customHeight="false" outlineLevel="0" collapsed="false">
      <c r="N544" s="34" t="str">
        <f aca="false">IF(D544="","",DATE(YEAR(D544),MONTH(D544),1))</f>
        <v/>
      </c>
      <c r="O544" s="35" t="str">
        <f aca="false">IF(A544="","",IF(ISNUMBER(I544),I544,0))</f>
        <v/>
      </c>
      <c r="P544" s="35" t="str">
        <f aca="false">IF(A544="","",F544+O544+K544)</f>
        <v/>
      </c>
      <c r="Q544" s="36" t="str">
        <f aca="false">IF(A544="","",IF(P544-L544=M544,"OK","Divergente"))</f>
        <v/>
      </c>
    </row>
    <row r="545" customFormat="false" ht="15" hidden="false" customHeight="false" outlineLevel="0" collapsed="false">
      <c r="N545" s="34" t="str">
        <f aca="false">IF(D545="","",DATE(YEAR(D545),MONTH(D545),1))</f>
        <v/>
      </c>
      <c r="O545" s="35" t="str">
        <f aca="false">IF(A545="","",IF(ISNUMBER(I545),I545,0))</f>
        <v/>
      </c>
      <c r="P545" s="35" t="str">
        <f aca="false">IF(A545="","",F545+O545+K545)</f>
        <v/>
      </c>
      <c r="Q545" s="36" t="str">
        <f aca="false">IF(A545="","",IF(P545-L545=M545,"OK","Divergente"))</f>
        <v/>
      </c>
    </row>
    <row r="546" customFormat="false" ht="15" hidden="false" customHeight="false" outlineLevel="0" collapsed="false">
      <c r="N546" s="34" t="str">
        <f aca="false">IF(D546="","",DATE(YEAR(D546),MONTH(D546),1))</f>
        <v/>
      </c>
      <c r="O546" s="35" t="str">
        <f aca="false">IF(A546="","",IF(ISNUMBER(I546),I546,0))</f>
        <v/>
      </c>
      <c r="P546" s="35" t="str">
        <f aca="false">IF(A546="","",F546+O546+K546)</f>
        <v/>
      </c>
      <c r="Q546" s="36" t="str">
        <f aca="false">IF(A546="","",IF(P546-L546=M546,"OK","Divergente"))</f>
        <v/>
      </c>
    </row>
    <row r="547" customFormat="false" ht="15" hidden="false" customHeight="false" outlineLevel="0" collapsed="false">
      <c r="N547" s="34" t="str">
        <f aca="false">IF(D547="","",DATE(YEAR(D547),MONTH(D547),1))</f>
        <v/>
      </c>
      <c r="O547" s="35" t="str">
        <f aca="false">IF(A547="","",IF(ISNUMBER(I547),I547,0))</f>
        <v/>
      </c>
      <c r="P547" s="35" t="str">
        <f aca="false">IF(A547="","",F547+O547+K547)</f>
        <v/>
      </c>
      <c r="Q547" s="36" t="str">
        <f aca="false">IF(A547="","",IF(P547-L547=M547,"OK","Divergente"))</f>
        <v/>
      </c>
    </row>
    <row r="548" customFormat="false" ht="15" hidden="false" customHeight="false" outlineLevel="0" collapsed="false">
      <c r="N548" s="34" t="str">
        <f aca="false">IF(D548="","",DATE(YEAR(D548),MONTH(D548),1))</f>
        <v/>
      </c>
      <c r="O548" s="35" t="str">
        <f aca="false">IF(A548="","",IF(ISNUMBER(I548),I548,0))</f>
        <v/>
      </c>
      <c r="P548" s="35" t="str">
        <f aca="false">IF(A548="","",F548+O548+K548)</f>
        <v/>
      </c>
      <c r="Q548" s="36" t="str">
        <f aca="false">IF(A548="","",IF(P548-L548=M548,"OK","Divergente"))</f>
        <v/>
      </c>
    </row>
    <row r="549" customFormat="false" ht="15" hidden="false" customHeight="false" outlineLevel="0" collapsed="false">
      <c r="N549" s="34" t="str">
        <f aca="false">IF(D549="","",DATE(YEAR(D549),MONTH(D549),1))</f>
        <v/>
      </c>
      <c r="O549" s="35" t="str">
        <f aca="false">IF(A549="","",IF(ISNUMBER(I549),I549,0))</f>
        <v/>
      </c>
      <c r="P549" s="35" t="str">
        <f aca="false">IF(A549="","",F549+O549+K549)</f>
        <v/>
      </c>
      <c r="Q549" s="36" t="str">
        <f aca="false">IF(A549="","",IF(P549-L549=M549,"OK","Divergente"))</f>
        <v/>
      </c>
    </row>
    <row r="550" customFormat="false" ht="15" hidden="false" customHeight="false" outlineLevel="0" collapsed="false">
      <c r="N550" s="34" t="str">
        <f aca="false">IF(D550="","",DATE(YEAR(D550),MONTH(D550),1))</f>
        <v/>
      </c>
      <c r="O550" s="35" t="str">
        <f aca="false">IF(A550="","",IF(ISNUMBER(I550),I550,0))</f>
        <v/>
      </c>
      <c r="P550" s="35" t="str">
        <f aca="false">IF(A550="","",F550+O550+K550)</f>
        <v/>
      </c>
      <c r="Q550" s="36" t="str">
        <f aca="false">IF(A550="","",IF(P550-L550=M550,"OK","Divergente"))</f>
        <v/>
      </c>
    </row>
    <row r="551" customFormat="false" ht="15" hidden="false" customHeight="false" outlineLevel="0" collapsed="false">
      <c r="N551" s="34" t="str">
        <f aca="false">IF(D551="","",DATE(YEAR(D551),MONTH(D551),1))</f>
        <v/>
      </c>
      <c r="O551" s="35" t="str">
        <f aca="false">IF(A551="","",IF(ISNUMBER(I551),I551,0))</f>
        <v/>
      </c>
      <c r="P551" s="35" t="str">
        <f aca="false">IF(A551="","",F551+O551+K551)</f>
        <v/>
      </c>
      <c r="Q551" s="36" t="str">
        <f aca="false">IF(A551="","",IF(P551-L551=M551,"OK","Divergente"))</f>
        <v/>
      </c>
    </row>
    <row r="552" customFormat="false" ht="15" hidden="false" customHeight="false" outlineLevel="0" collapsed="false">
      <c r="N552" s="34" t="str">
        <f aca="false">IF(D552="","",DATE(YEAR(D552),MONTH(D552),1))</f>
        <v/>
      </c>
      <c r="O552" s="35" t="str">
        <f aca="false">IF(A552="","",IF(ISNUMBER(I552),I552,0))</f>
        <v/>
      </c>
      <c r="P552" s="35" t="str">
        <f aca="false">IF(A552="","",F552+O552+K552)</f>
        <v/>
      </c>
      <c r="Q552" s="36" t="str">
        <f aca="false">IF(A552="","",IF(P552-L552=M552,"OK","Divergente"))</f>
        <v/>
      </c>
    </row>
    <row r="553" customFormat="false" ht="15" hidden="false" customHeight="false" outlineLevel="0" collapsed="false">
      <c r="N553" s="34" t="str">
        <f aca="false">IF(D553="","",DATE(YEAR(D553),MONTH(D553),1))</f>
        <v/>
      </c>
      <c r="O553" s="35" t="str">
        <f aca="false">IF(A553="","",IF(ISNUMBER(I553),I553,0))</f>
        <v/>
      </c>
      <c r="P553" s="35" t="str">
        <f aca="false">IF(A553="","",F553+O553+K553)</f>
        <v/>
      </c>
      <c r="Q553" s="36" t="str">
        <f aca="false">IF(A553="","",IF(P553-L553=M553,"OK","Divergente"))</f>
        <v/>
      </c>
    </row>
    <row r="554" customFormat="false" ht="15" hidden="false" customHeight="false" outlineLevel="0" collapsed="false">
      <c r="N554" s="34" t="str">
        <f aca="false">IF(D554="","",DATE(YEAR(D554),MONTH(D554),1))</f>
        <v/>
      </c>
      <c r="O554" s="35" t="str">
        <f aca="false">IF(A554="","",IF(ISNUMBER(I554),I554,0))</f>
        <v/>
      </c>
      <c r="P554" s="35" t="str">
        <f aca="false">IF(A554="","",F554+O554+K554)</f>
        <v/>
      </c>
      <c r="Q554" s="36" t="str">
        <f aca="false">IF(A554="","",IF(P554-L554=M554,"OK","Divergente"))</f>
        <v/>
      </c>
    </row>
    <row r="555" customFormat="false" ht="15" hidden="false" customHeight="false" outlineLevel="0" collapsed="false">
      <c r="N555" s="34" t="str">
        <f aca="false">IF(D555="","",DATE(YEAR(D555),MONTH(D555),1))</f>
        <v/>
      </c>
      <c r="O555" s="35" t="str">
        <f aca="false">IF(A555="","",IF(ISNUMBER(I555),I555,0))</f>
        <v/>
      </c>
      <c r="P555" s="35" t="str">
        <f aca="false">IF(A555="","",F555+O555+K555)</f>
        <v/>
      </c>
      <c r="Q555" s="36" t="str">
        <f aca="false">IF(A555="","",IF(P555-L555=M555,"OK","Divergente"))</f>
        <v/>
      </c>
    </row>
    <row r="556" customFormat="false" ht="15" hidden="false" customHeight="false" outlineLevel="0" collapsed="false">
      <c r="N556" s="34" t="str">
        <f aca="false">IF(D556="","",DATE(YEAR(D556),MONTH(D556),1))</f>
        <v/>
      </c>
      <c r="O556" s="35" t="str">
        <f aca="false">IF(A556="","",IF(ISNUMBER(I556),I556,0))</f>
        <v/>
      </c>
      <c r="P556" s="35" t="str">
        <f aca="false">IF(A556="","",F556+O556+K556)</f>
        <v/>
      </c>
      <c r="Q556" s="36" t="str">
        <f aca="false">IF(A556="","",IF(P556-L556=M556,"OK","Divergente"))</f>
        <v/>
      </c>
    </row>
    <row r="557" customFormat="false" ht="15" hidden="false" customHeight="false" outlineLevel="0" collapsed="false">
      <c r="N557" s="34" t="str">
        <f aca="false">IF(D557="","",DATE(YEAR(D557),MONTH(D557),1))</f>
        <v/>
      </c>
      <c r="O557" s="35" t="str">
        <f aca="false">IF(A557="","",IF(ISNUMBER(I557),I557,0))</f>
        <v/>
      </c>
      <c r="P557" s="35" t="str">
        <f aca="false">IF(A557="","",F557+O557+K557)</f>
        <v/>
      </c>
      <c r="Q557" s="36" t="str">
        <f aca="false">IF(A557="","",IF(P557-L557=M557,"OK","Divergente"))</f>
        <v/>
      </c>
    </row>
    <row r="558" customFormat="false" ht="15" hidden="false" customHeight="false" outlineLevel="0" collapsed="false">
      <c r="N558" s="34" t="str">
        <f aca="false">IF(D558="","",DATE(YEAR(D558),MONTH(D558),1))</f>
        <v/>
      </c>
      <c r="O558" s="35" t="str">
        <f aca="false">IF(A558="","",IF(ISNUMBER(I558),I558,0))</f>
        <v/>
      </c>
      <c r="P558" s="35" t="str">
        <f aca="false">IF(A558="","",F558+O558+K558)</f>
        <v/>
      </c>
      <c r="Q558" s="36" t="str">
        <f aca="false">IF(A558="","",IF(P558-L558=M558,"OK","Divergente"))</f>
        <v/>
      </c>
    </row>
    <row r="559" customFormat="false" ht="15" hidden="false" customHeight="false" outlineLevel="0" collapsed="false">
      <c r="N559" s="34" t="str">
        <f aca="false">IF(D559="","",DATE(YEAR(D559),MONTH(D559),1))</f>
        <v/>
      </c>
      <c r="O559" s="35" t="str">
        <f aca="false">IF(A559="","",IF(ISNUMBER(I559),I559,0))</f>
        <v/>
      </c>
      <c r="P559" s="35" t="str">
        <f aca="false">IF(A559="","",F559+O559+K559)</f>
        <v/>
      </c>
      <c r="Q559" s="36" t="str">
        <f aca="false">IF(A559="","",IF(P559-L559=M559,"OK","Divergente"))</f>
        <v/>
      </c>
    </row>
    <row r="560" customFormat="false" ht="15" hidden="false" customHeight="false" outlineLevel="0" collapsed="false">
      <c r="N560" s="34" t="str">
        <f aca="false">IF(D560="","",DATE(YEAR(D560),MONTH(D560),1))</f>
        <v/>
      </c>
      <c r="O560" s="35" t="str">
        <f aca="false">IF(A560="","",IF(ISNUMBER(I560),I560,0))</f>
        <v/>
      </c>
      <c r="P560" s="35" t="str">
        <f aca="false">IF(A560="","",F560+O560+K560)</f>
        <v/>
      </c>
      <c r="Q560" s="36" t="str">
        <f aca="false">IF(A560="","",IF(P560-L560=M560,"OK","Divergente"))</f>
        <v/>
      </c>
    </row>
    <row r="561" customFormat="false" ht="15" hidden="false" customHeight="false" outlineLevel="0" collapsed="false">
      <c r="N561" s="34" t="str">
        <f aca="false">IF(D561="","",DATE(YEAR(D561),MONTH(D561),1))</f>
        <v/>
      </c>
      <c r="O561" s="35" t="str">
        <f aca="false">IF(A561="","",IF(ISNUMBER(I561),I561,0))</f>
        <v/>
      </c>
      <c r="P561" s="35" t="str">
        <f aca="false">IF(A561="","",F561+O561+K561)</f>
        <v/>
      </c>
      <c r="Q561" s="36" t="str">
        <f aca="false">IF(A561="","",IF(P561-L561=M561,"OK","Divergente"))</f>
        <v/>
      </c>
    </row>
    <row r="562" customFormat="false" ht="15" hidden="false" customHeight="false" outlineLevel="0" collapsed="false">
      <c r="N562" s="34" t="str">
        <f aca="false">IF(D562="","",DATE(YEAR(D562),MONTH(D562),1))</f>
        <v/>
      </c>
      <c r="O562" s="35" t="str">
        <f aca="false">IF(A562="","",IF(ISNUMBER(I562),I562,0))</f>
        <v/>
      </c>
      <c r="P562" s="35" t="str">
        <f aca="false">IF(A562="","",F562+O562+K562)</f>
        <v/>
      </c>
      <c r="Q562" s="36" t="str">
        <f aca="false">IF(A562="","",IF(P562-L562=M562,"OK","Divergente"))</f>
        <v/>
      </c>
    </row>
    <row r="563" customFormat="false" ht="15" hidden="false" customHeight="false" outlineLevel="0" collapsed="false">
      <c r="N563" s="34" t="str">
        <f aca="false">IF(D563="","",DATE(YEAR(D563),MONTH(D563),1))</f>
        <v/>
      </c>
      <c r="O563" s="35" t="str">
        <f aca="false">IF(A563="","",IF(ISNUMBER(I563),I563,0))</f>
        <v/>
      </c>
      <c r="P563" s="35" t="str">
        <f aca="false">IF(A563="","",F563+O563+K563)</f>
        <v/>
      </c>
      <c r="Q563" s="36" t="str">
        <f aca="false">IF(A563="","",IF(P563-L563=M563,"OK","Divergente"))</f>
        <v/>
      </c>
    </row>
    <row r="564" customFormat="false" ht="15" hidden="false" customHeight="false" outlineLevel="0" collapsed="false">
      <c r="N564" s="34" t="str">
        <f aca="false">IF(D564="","",DATE(YEAR(D564),MONTH(D564),1))</f>
        <v/>
      </c>
      <c r="O564" s="35" t="str">
        <f aca="false">IF(A564="","",IF(ISNUMBER(I564),I564,0))</f>
        <v/>
      </c>
      <c r="P564" s="35" t="str">
        <f aca="false">IF(A564="","",F564+O564+K564)</f>
        <v/>
      </c>
      <c r="Q564" s="36" t="str">
        <f aca="false">IF(A564="","",IF(P564-L564=M564,"OK","Divergente"))</f>
        <v/>
      </c>
    </row>
    <row r="565" customFormat="false" ht="15" hidden="false" customHeight="false" outlineLevel="0" collapsed="false">
      <c r="N565" s="34" t="str">
        <f aca="false">IF(D565="","",DATE(YEAR(D565),MONTH(D565),1))</f>
        <v/>
      </c>
      <c r="O565" s="35" t="str">
        <f aca="false">IF(A565="","",IF(ISNUMBER(I565),I565,0))</f>
        <v/>
      </c>
      <c r="P565" s="35" t="str">
        <f aca="false">IF(A565="","",F565+O565+K565)</f>
        <v/>
      </c>
      <c r="Q565" s="36" t="str">
        <f aca="false">IF(A565="","",IF(P565-L565=M565,"OK","Divergente"))</f>
        <v/>
      </c>
    </row>
    <row r="566" customFormat="false" ht="15" hidden="false" customHeight="false" outlineLevel="0" collapsed="false">
      <c r="N566" s="34" t="str">
        <f aca="false">IF(D566="","",DATE(YEAR(D566),MONTH(D566),1))</f>
        <v/>
      </c>
      <c r="O566" s="35" t="str">
        <f aca="false">IF(A566="","",IF(ISNUMBER(I566),I566,0))</f>
        <v/>
      </c>
      <c r="P566" s="35" t="str">
        <f aca="false">IF(A566="","",F566+O566+K566)</f>
        <v/>
      </c>
      <c r="Q566" s="36" t="str">
        <f aca="false">IF(A566="","",IF(P566-L566=M566,"OK","Divergente"))</f>
        <v/>
      </c>
    </row>
    <row r="567" customFormat="false" ht="15" hidden="false" customHeight="false" outlineLevel="0" collapsed="false">
      <c r="N567" s="34" t="str">
        <f aca="false">IF(D567="","",DATE(YEAR(D567),MONTH(D567),1))</f>
        <v/>
      </c>
      <c r="O567" s="35" t="str">
        <f aca="false">IF(A567="","",IF(ISNUMBER(I567),I567,0))</f>
        <v/>
      </c>
      <c r="P567" s="35" t="str">
        <f aca="false">IF(A567="","",F567+O567+K567)</f>
        <v/>
      </c>
      <c r="Q567" s="36" t="str">
        <f aca="false">IF(A567="","",IF(P567-L567=M567,"OK","Divergente"))</f>
        <v/>
      </c>
    </row>
    <row r="568" customFormat="false" ht="15" hidden="false" customHeight="false" outlineLevel="0" collapsed="false">
      <c r="N568" s="34" t="str">
        <f aca="false">IF(D568="","",DATE(YEAR(D568),MONTH(D568),1))</f>
        <v/>
      </c>
      <c r="O568" s="35" t="str">
        <f aca="false">IF(A568="","",IF(ISNUMBER(I568),I568,0))</f>
        <v/>
      </c>
      <c r="P568" s="35" t="str">
        <f aca="false">IF(A568="","",F568+O568+K568)</f>
        <v/>
      </c>
      <c r="Q568" s="36" t="str">
        <f aca="false">IF(A568="","",IF(P568-L568=M568,"OK","Divergente"))</f>
        <v/>
      </c>
    </row>
    <row r="569" customFormat="false" ht="15" hidden="false" customHeight="false" outlineLevel="0" collapsed="false">
      <c r="N569" s="34" t="str">
        <f aca="false">IF(D569="","",DATE(YEAR(D569),MONTH(D569),1))</f>
        <v/>
      </c>
      <c r="O569" s="35" t="str">
        <f aca="false">IF(A569="","",IF(ISNUMBER(I569),I569,0))</f>
        <v/>
      </c>
      <c r="P569" s="35" t="str">
        <f aca="false">IF(A569="","",F569+O569+K569)</f>
        <v/>
      </c>
      <c r="Q569" s="36" t="str">
        <f aca="false">IF(A569="","",IF(P569-L569=M569,"OK","Divergente"))</f>
        <v/>
      </c>
    </row>
    <row r="570" customFormat="false" ht="15" hidden="false" customHeight="false" outlineLevel="0" collapsed="false">
      <c r="N570" s="34" t="str">
        <f aca="false">IF(D570="","",DATE(YEAR(D570),MONTH(D570),1))</f>
        <v/>
      </c>
      <c r="O570" s="35" t="str">
        <f aca="false">IF(A570="","",IF(ISNUMBER(I570),I570,0))</f>
        <v/>
      </c>
      <c r="P570" s="35" t="str">
        <f aca="false">IF(A570="","",F570+O570+K570)</f>
        <v/>
      </c>
      <c r="Q570" s="36" t="str">
        <f aca="false">IF(A570="","",IF(P570-L570=M570,"OK","Divergente"))</f>
        <v/>
      </c>
    </row>
    <row r="571" customFormat="false" ht="15" hidden="false" customHeight="false" outlineLevel="0" collapsed="false">
      <c r="N571" s="34" t="str">
        <f aca="false">IF(D571="","",DATE(YEAR(D571),MONTH(D571),1))</f>
        <v/>
      </c>
      <c r="O571" s="35" t="str">
        <f aca="false">IF(A571="","",IF(ISNUMBER(I571),I571,0))</f>
        <v/>
      </c>
      <c r="P571" s="35" t="str">
        <f aca="false">IF(A571="","",F571+O571+K571)</f>
        <v/>
      </c>
      <c r="Q571" s="36" t="str">
        <f aca="false">IF(A571="","",IF(P571-L571=M571,"OK","Divergente"))</f>
        <v/>
      </c>
    </row>
    <row r="572" customFormat="false" ht="15" hidden="false" customHeight="false" outlineLevel="0" collapsed="false">
      <c r="N572" s="34" t="str">
        <f aca="false">IF(D572="","",DATE(YEAR(D572),MONTH(D572),1))</f>
        <v/>
      </c>
      <c r="O572" s="35" t="str">
        <f aca="false">IF(A572="","",IF(ISNUMBER(I572),I572,0))</f>
        <v/>
      </c>
      <c r="P572" s="35" t="str">
        <f aca="false">IF(A572="","",F572+O572+K572)</f>
        <v/>
      </c>
      <c r="Q572" s="36" t="str">
        <f aca="false">IF(A572="","",IF(P572-L572=M572,"OK","Divergente"))</f>
        <v/>
      </c>
    </row>
    <row r="573" customFormat="false" ht="15" hidden="false" customHeight="false" outlineLevel="0" collapsed="false">
      <c r="N573" s="34" t="str">
        <f aca="false">IF(D573="","",DATE(YEAR(D573),MONTH(D573),1))</f>
        <v/>
      </c>
      <c r="O573" s="35" t="str">
        <f aca="false">IF(A573="","",IF(ISNUMBER(I573),I573,0))</f>
        <v/>
      </c>
      <c r="P573" s="35" t="str">
        <f aca="false">IF(A573="","",F573+O573+K573)</f>
        <v/>
      </c>
      <c r="Q573" s="36" t="str">
        <f aca="false">IF(A573="","",IF(P573-L573=M573,"OK","Divergente"))</f>
        <v/>
      </c>
    </row>
    <row r="574" customFormat="false" ht="15" hidden="false" customHeight="false" outlineLevel="0" collapsed="false">
      <c r="N574" s="34" t="str">
        <f aca="false">IF(D574="","",DATE(YEAR(D574),MONTH(D574),1))</f>
        <v/>
      </c>
      <c r="O574" s="35" t="str">
        <f aca="false">IF(A574="","",IF(ISNUMBER(I574),I574,0))</f>
        <v/>
      </c>
      <c r="P574" s="35" t="str">
        <f aca="false">IF(A574="","",F574+O574+K574)</f>
        <v/>
      </c>
      <c r="Q574" s="36" t="str">
        <f aca="false">IF(A574="","",IF(P574-L574=M574,"OK","Divergente"))</f>
        <v/>
      </c>
    </row>
    <row r="575" customFormat="false" ht="15" hidden="false" customHeight="false" outlineLevel="0" collapsed="false">
      <c r="N575" s="34" t="str">
        <f aca="false">IF(D575="","",DATE(YEAR(D575),MONTH(D575),1))</f>
        <v/>
      </c>
      <c r="O575" s="35" t="str">
        <f aca="false">IF(A575="","",IF(ISNUMBER(I575),I575,0))</f>
        <v/>
      </c>
      <c r="P575" s="35" t="str">
        <f aca="false">IF(A575="","",F575+O575+K575)</f>
        <v/>
      </c>
      <c r="Q575" s="36" t="str">
        <f aca="false">IF(A575="","",IF(P575-L575=M575,"OK","Divergente"))</f>
        <v/>
      </c>
    </row>
    <row r="576" customFormat="false" ht="15" hidden="false" customHeight="false" outlineLevel="0" collapsed="false">
      <c r="N576" s="34" t="str">
        <f aca="false">IF(D576="","",DATE(YEAR(D576),MONTH(D576),1))</f>
        <v/>
      </c>
      <c r="O576" s="35" t="str">
        <f aca="false">IF(A576="","",IF(ISNUMBER(I576),I576,0))</f>
        <v/>
      </c>
      <c r="P576" s="35" t="str">
        <f aca="false">IF(A576="","",F576+O576+K576)</f>
        <v/>
      </c>
      <c r="Q576" s="36" t="str">
        <f aca="false">IF(A576="","",IF(P576-L576=M576,"OK","Divergente"))</f>
        <v/>
      </c>
    </row>
    <row r="577" customFormat="false" ht="15" hidden="false" customHeight="false" outlineLevel="0" collapsed="false">
      <c r="N577" s="34" t="str">
        <f aca="false">IF(D577="","",DATE(YEAR(D577),MONTH(D577),1))</f>
        <v/>
      </c>
      <c r="O577" s="35" t="str">
        <f aca="false">IF(A577="","",IF(ISNUMBER(I577),I577,0))</f>
        <v/>
      </c>
      <c r="P577" s="35" t="str">
        <f aca="false">IF(A577="","",F577+O577+K577)</f>
        <v/>
      </c>
      <c r="Q577" s="36" t="str">
        <f aca="false">IF(A577="","",IF(P577-L577=M577,"OK","Divergente"))</f>
        <v/>
      </c>
    </row>
    <row r="578" customFormat="false" ht="15" hidden="false" customHeight="false" outlineLevel="0" collapsed="false">
      <c r="N578" s="34" t="str">
        <f aca="false">IF(D578="","",DATE(YEAR(D578),MONTH(D578),1))</f>
        <v/>
      </c>
      <c r="O578" s="35" t="str">
        <f aca="false">IF(A578="","",IF(ISNUMBER(I578),I578,0))</f>
        <v/>
      </c>
      <c r="P578" s="35" t="str">
        <f aca="false">IF(A578="","",F578+O578+K578)</f>
        <v/>
      </c>
      <c r="Q578" s="36" t="str">
        <f aca="false">IF(A578="","",IF(P578-L578=M578,"OK","Divergente"))</f>
        <v/>
      </c>
    </row>
    <row r="579" customFormat="false" ht="15" hidden="false" customHeight="false" outlineLevel="0" collapsed="false">
      <c r="N579" s="34" t="str">
        <f aca="false">IF(D579="","",DATE(YEAR(D579),MONTH(D579),1))</f>
        <v/>
      </c>
      <c r="O579" s="35" t="str">
        <f aca="false">IF(A579="","",IF(ISNUMBER(I579),I579,0))</f>
        <v/>
      </c>
      <c r="P579" s="35" t="str">
        <f aca="false">IF(A579="","",F579+O579+K579)</f>
        <v/>
      </c>
      <c r="Q579" s="36" t="str">
        <f aca="false">IF(A579="","",IF(P579-L579=M579,"OK","Divergente"))</f>
        <v/>
      </c>
    </row>
    <row r="580" customFormat="false" ht="15" hidden="false" customHeight="false" outlineLevel="0" collapsed="false">
      <c r="N580" s="34" t="str">
        <f aca="false">IF(D580="","",DATE(YEAR(D580),MONTH(D580),1))</f>
        <v/>
      </c>
      <c r="O580" s="35" t="str">
        <f aca="false">IF(A580="","",IF(ISNUMBER(I580),I580,0))</f>
        <v/>
      </c>
      <c r="P580" s="35" t="str">
        <f aca="false">IF(A580="","",F580+O580+K580)</f>
        <v/>
      </c>
      <c r="Q580" s="36" t="str">
        <f aca="false">IF(A580="","",IF(P580-L580=M580,"OK","Divergente"))</f>
        <v/>
      </c>
    </row>
    <row r="581" customFormat="false" ht="15" hidden="false" customHeight="false" outlineLevel="0" collapsed="false">
      <c r="N581" s="34" t="str">
        <f aca="false">IF(D581="","",DATE(YEAR(D581),MONTH(D581),1))</f>
        <v/>
      </c>
      <c r="O581" s="35" t="str">
        <f aca="false">IF(A581="","",IF(ISNUMBER(I581),I581,0))</f>
        <v/>
      </c>
      <c r="P581" s="35" t="str">
        <f aca="false">IF(A581="","",F581+O581+K581)</f>
        <v/>
      </c>
      <c r="Q581" s="36" t="str">
        <f aca="false">IF(A581="","",IF(P581-L581=M581,"OK","Divergente"))</f>
        <v/>
      </c>
    </row>
    <row r="582" customFormat="false" ht="15" hidden="false" customHeight="false" outlineLevel="0" collapsed="false">
      <c r="N582" s="34" t="str">
        <f aca="false">IF(D582="","",DATE(YEAR(D582),MONTH(D582),1))</f>
        <v/>
      </c>
      <c r="O582" s="35" t="str">
        <f aca="false">IF(A582="","",IF(ISNUMBER(I582),I582,0))</f>
        <v/>
      </c>
      <c r="P582" s="35" t="str">
        <f aca="false">IF(A582="","",F582+O582+K582)</f>
        <v/>
      </c>
      <c r="Q582" s="36" t="str">
        <f aca="false">IF(A582="","",IF(P582-L582=M582,"OK","Divergente"))</f>
        <v/>
      </c>
    </row>
    <row r="583" customFormat="false" ht="15" hidden="false" customHeight="false" outlineLevel="0" collapsed="false">
      <c r="N583" s="34" t="str">
        <f aca="false">IF(D583="","",DATE(YEAR(D583),MONTH(D583),1))</f>
        <v/>
      </c>
      <c r="O583" s="35" t="str">
        <f aca="false">IF(A583="","",IF(ISNUMBER(I583),I583,0))</f>
        <v/>
      </c>
      <c r="P583" s="35" t="str">
        <f aca="false">IF(A583="","",F583+O583+K583)</f>
        <v/>
      </c>
      <c r="Q583" s="36" t="str">
        <f aca="false">IF(A583="","",IF(P583-L583=M583,"OK","Divergente"))</f>
        <v/>
      </c>
    </row>
    <row r="584" customFormat="false" ht="15" hidden="false" customHeight="false" outlineLevel="0" collapsed="false">
      <c r="N584" s="34" t="str">
        <f aca="false">IF(D584="","",DATE(YEAR(D584),MONTH(D584),1))</f>
        <v/>
      </c>
      <c r="O584" s="35" t="str">
        <f aca="false">IF(A584="","",IF(ISNUMBER(I584),I584,0))</f>
        <v/>
      </c>
      <c r="P584" s="35" t="str">
        <f aca="false">IF(A584="","",F584+O584+K584)</f>
        <v/>
      </c>
      <c r="Q584" s="36" t="str">
        <f aca="false">IF(A584="","",IF(P584-L584=M584,"OK","Divergente"))</f>
        <v/>
      </c>
    </row>
    <row r="585" customFormat="false" ht="15" hidden="false" customHeight="false" outlineLevel="0" collapsed="false">
      <c r="N585" s="34" t="str">
        <f aca="false">IF(D585="","",DATE(YEAR(D585),MONTH(D585),1))</f>
        <v/>
      </c>
      <c r="O585" s="35" t="str">
        <f aca="false">IF(A585="","",IF(ISNUMBER(I585),I585,0))</f>
        <v/>
      </c>
      <c r="P585" s="35" t="str">
        <f aca="false">IF(A585="","",F585+O585+K585)</f>
        <v/>
      </c>
      <c r="Q585" s="36" t="str">
        <f aca="false">IF(A585="","",IF(P585-L585=M585,"OK","Divergente"))</f>
        <v/>
      </c>
    </row>
    <row r="586" customFormat="false" ht="15" hidden="false" customHeight="false" outlineLevel="0" collapsed="false">
      <c r="N586" s="34" t="str">
        <f aca="false">IF(D586="","",DATE(YEAR(D586),MONTH(D586),1))</f>
        <v/>
      </c>
      <c r="O586" s="35" t="str">
        <f aca="false">IF(A586="","",IF(ISNUMBER(I586),I586,0))</f>
        <v/>
      </c>
      <c r="P586" s="35" t="str">
        <f aca="false">IF(A586="","",F586+O586+K586)</f>
        <v/>
      </c>
      <c r="Q586" s="36" t="str">
        <f aca="false">IF(A586="","",IF(P586-L586=M586,"OK","Divergente"))</f>
        <v/>
      </c>
    </row>
    <row r="587" customFormat="false" ht="15" hidden="false" customHeight="false" outlineLevel="0" collapsed="false">
      <c r="N587" s="34" t="str">
        <f aca="false">IF(D587="","",DATE(YEAR(D587),MONTH(D587),1))</f>
        <v/>
      </c>
      <c r="O587" s="35" t="str">
        <f aca="false">IF(A587="","",IF(ISNUMBER(I587),I587,0))</f>
        <v/>
      </c>
      <c r="P587" s="35" t="str">
        <f aca="false">IF(A587="","",F587+O587+K587)</f>
        <v/>
      </c>
      <c r="Q587" s="36" t="str">
        <f aca="false">IF(A587="","",IF(P587-L587=M587,"OK","Divergente"))</f>
        <v/>
      </c>
    </row>
    <row r="588" customFormat="false" ht="15" hidden="false" customHeight="false" outlineLevel="0" collapsed="false">
      <c r="N588" s="34" t="str">
        <f aca="false">IF(D588="","",DATE(YEAR(D588),MONTH(D588),1))</f>
        <v/>
      </c>
      <c r="O588" s="35" t="str">
        <f aca="false">IF(A588="","",IF(ISNUMBER(I588),I588,0))</f>
        <v/>
      </c>
      <c r="P588" s="35" t="str">
        <f aca="false">IF(A588="","",F588+O588+K588)</f>
        <v/>
      </c>
      <c r="Q588" s="36" t="str">
        <f aca="false">IF(A588="","",IF(P588-L588=M588,"OK","Divergente"))</f>
        <v/>
      </c>
    </row>
    <row r="589" customFormat="false" ht="15" hidden="false" customHeight="false" outlineLevel="0" collapsed="false">
      <c r="N589" s="34" t="str">
        <f aca="false">IF(D589="","",DATE(YEAR(D589),MONTH(D589),1))</f>
        <v/>
      </c>
      <c r="O589" s="35" t="str">
        <f aca="false">IF(A589="","",IF(ISNUMBER(I589),I589,0))</f>
        <v/>
      </c>
      <c r="P589" s="35" t="str">
        <f aca="false">IF(A589="","",F589+O589+K589)</f>
        <v/>
      </c>
      <c r="Q589" s="36" t="str">
        <f aca="false">IF(A589="","",IF(P589-L589=M589,"OK","Divergente"))</f>
        <v/>
      </c>
    </row>
    <row r="590" customFormat="false" ht="15" hidden="false" customHeight="false" outlineLevel="0" collapsed="false">
      <c r="N590" s="34" t="str">
        <f aca="false">IF(D590="","",DATE(YEAR(D590),MONTH(D590),1))</f>
        <v/>
      </c>
      <c r="O590" s="35" t="str">
        <f aca="false">IF(A590="","",IF(ISNUMBER(I590),I590,0))</f>
        <v/>
      </c>
      <c r="P590" s="35" t="str">
        <f aca="false">IF(A590="","",F590+O590+K590)</f>
        <v/>
      </c>
      <c r="Q590" s="36" t="str">
        <f aca="false">IF(A590="","",IF(P590-L590=M590,"OK","Divergente"))</f>
        <v/>
      </c>
    </row>
    <row r="591" customFormat="false" ht="15" hidden="false" customHeight="false" outlineLevel="0" collapsed="false">
      <c r="N591" s="34" t="str">
        <f aca="false">IF(D591="","",DATE(YEAR(D591),MONTH(D591),1))</f>
        <v/>
      </c>
      <c r="O591" s="35" t="str">
        <f aca="false">IF(A591="","",IF(ISNUMBER(I591),I591,0))</f>
        <v/>
      </c>
      <c r="P591" s="35" t="str">
        <f aca="false">IF(A591="","",F591+O591+K591)</f>
        <v/>
      </c>
      <c r="Q591" s="36" t="str">
        <f aca="false">IF(A591="","",IF(P591-L591=M591,"OK","Divergente"))</f>
        <v/>
      </c>
    </row>
    <row r="592" customFormat="false" ht="15" hidden="false" customHeight="false" outlineLevel="0" collapsed="false">
      <c r="N592" s="34" t="str">
        <f aca="false">IF(D592="","",DATE(YEAR(D592),MONTH(D592),1))</f>
        <v/>
      </c>
      <c r="O592" s="35" t="str">
        <f aca="false">IF(A592="","",IF(ISNUMBER(I592),I592,0))</f>
        <v/>
      </c>
      <c r="P592" s="35" t="str">
        <f aca="false">IF(A592="","",F592+O592+K592)</f>
        <v/>
      </c>
      <c r="Q592" s="36" t="str">
        <f aca="false">IF(A592="","",IF(P592-L592=M592,"OK","Divergente"))</f>
        <v/>
      </c>
    </row>
    <row r="593" customFormat="false" ht="15" hidden="false" customHeight="false" outlineLevel="0" collapsed="false">
      <c r="N593" s="34" t="str">
        <f aca="false">IF(D593="","",DATE(YEAR(D593),MONTH(D593),1))</f>
        <v/>
      </c>
      <c r="O593" s="35" t="str">
        <f aca="false">IF(A593="","",IF(ISNUMBER(I593),I593,0))</f>
        <v/>
      </c>
      <c r="P593" s="35" t="str">
        <f aca="false">IF(A593="","",F593+O593+K593)</f>
        <v/>
      </c>
      <c r="Q593" s="36" t="str">
        <f aca="false">IF(A593="","",IF(P593-L593=M593,"OK","Divergente"))</f>
        <v/>
      </c>
    </row>
    <row r="594" customFormat="false" ht="15" hidden="false" customHeight="false" outlineLevel="0" collapsed="false">
      <c r="N594" s="34" t="str">
        <f aca="false">IF(D594="","",DATE(YEAR(D594),MONTH(D594),1))</f>
        <v/>
      </c>
      <c r="O594" s="35" t="str">
        <f aca="false">IF(A594="","",IF(ISNUMBER(I594),I594,0))</f>
        <v/>
      </c>
      <c r="P594" s="35" t="str">
        <f aca="false">IF(A594="","",F594+O594+K594)</f>
        <v/>
      </c>
      <c r="Q594" s="36" t="str">
        <f aca="false">IF(A594="","",IF(P594-L594=M594,"OK","Divergente"))</f>
        <v/>
      </c>
    </row>
    <row r="595" customFormat="false" ht="15" hidden="false" customHeight="false" outlineLevel="0" collapsed="false">
      <c r="N595" s="34" t="str">
        <f aca="false">IF(D595="","",DATE(YEAR(D595),MONTH(D595),1))</f>
        <v/>
      </c>
      <c r="O595" s="35" t="str">
        <f aca="false">IF(A595="","",IF(ISNUMBER(I595),I595,0))</f>
        <v/>
      </c>
      <c r="P595" s="35" t="str">
        <f aca="false">IF(A595="","",F595+O595+K595)</f>
        <v/>
      </c>
      <c r="Q595" s="36" t="str">
        <f aca="false">IF(A595="","",IF(P595-L595=M595,"OK","Divergente"))</f>
        <v/>
      </c>
    </row>
    <row r="596" customFormat="false" ht="15" hidden="false" customHeight="false" outlineLevel="0" collapsed="false">
      <c r="N596" s="34" t="str">
        <f aca="false">IF(D596="","",DATE(YEAR(D596),MONTH(D596),1))</f>
        <v/>
      </c>
      <c r="O596" s="35" t="str">
        <f aca="false">IF(A596="","",IF(ISNUMBER(I596),I596,0))</f>
        <v/>
      </c>
      <c r="P596" s="35" t="str">
        <f aca="false">IF(A596="","",F596+O596+K596)</f>
        <v/>
      </c>
      <c r="Q596" s="36" t="str">
        <f aca="false">IF(A596="","",IF(P596-L596=M596,"OK","Divergente"))</f>
        <v/>
      </c>
    </row>
    <row r="597" customFormat="false" ht="15" hidden="false" customHeight="false" outlineLevel="0" collapsed="false">
      <c r="N597" s="34" t="str">
        <f aca="false">IF(D597="","",DATE(YEAR(D597),MONTH(D597),1))</f>
        <v/>
      </c>
      <c r="O597" s="35" t="str">
        <f aca="false">IF(A597="","",IF(ISNUMBER(I597),I597,0))</f>
        <v/>
      </c>
      <c r="P597" s="35" t="str">
        <f aca="false">IF(A597="","",F597+O597+K597)</f>
        <v/>
      </c>
      <c r="Q597" s="36" t="str">
        <f aca="false">IF(A597="","",IF(P597-L597=M597,"OK","Divergente"))</f>
        <v/>
      </c>
    </row>
    <row r="598" customFormat="false" ht="15" hidden="false" customHeight="false" outlineLevel="0" collapsed="false">
      <c r="N598" s="34" t="str">
        <f aca="false">IF(D598="","",DATE(YEAR(D598),MONTH(D598),1))</f>
        <v/>
      </c>
      <c r="O598" s="35" t="str">
        <f aca="false">IF(A598="","",IF(ISNUMBER(I598),I598,0))</f>
        <v/>
      </c>
      <c r="P598" s="35" t="str">
        <f aca="false">IF(A598="","",F598+O598+K598)</f>
        <v/>
      </c>
      <c r="Q598" s="36" t="str">
        <f aca="false">IF(A598="","",IF(P598-L598=M598,"OK","Divergente"))</f>
        <v/>
      </c>
    </row>
    <row r="599" customFormat="false" ht="15" hidden="false" customHeight="false" outlineLevel="0" collapsed="false">
      <c r="N599" s="34" t="str">
        <f aca="false">IF(D599="","",DATE(YEAR(D599),MONTH(D599),1))</f>
        <v/>
      </c>
      <c r="O599" s="35" t="str">
        <f aca="false">IF(A599="","",IF(ISNUMBER(I599),I599,0))</f>
        <v/>
      </c>
      <c r="P599" s="35" t="str">
        <f aca="false">IF(A599="","",F599+O599+K599)</f>
        <v/>
      </c>
      <c r="Q599" s="36" t="str">
        <f aca="false">IF(A599="","",IF(P599-L599=M599,"OK","Divergente"))</f>
        <v/>
      </c>
    </row>
    <row r="600" customFormat="false" ht="15" hidden="false" customHeight="false" outlineLevel="0" collapsed="false">
      <c r="N600" s="34" t="str">
        <f aca="false">IF(D600="","",DATE(YEAR(D600),MONTH(D600),1))</f>
        <v/>
      </c>
      <c r="O600" s="35" t="str">
        <f aca="false">IF(A600="","",IF(ISNUMBER(I600),I600,0))</f>
        <v/>
      </c>
      <c r="P600" s="35" t="str">
        <f aca="false">IF(A600="","",F600+O600+K600)</f>
        <v/>
      </c>
      <c r="Q600" s="36" t="str">
        <f aca="false">IF(A600="","",IF(P600-L600=M600,"OK","Divergente"))</f>
        <v/>
      </c>
    </row>
    <row r="601" customFormat="false" ht="15" hidden="false" customHeight="false" outlineLevel="0" collapsed="false">
      <c r="N601" s="34" t="str">
        <f aca="false">IF(D601="","",DATE(YEAR(D601),MONTH(D601),1))</f>
        <v/>
      </c>
      <c r="O601" s="35" t="str">
        <f aca="false">IF(A601="","",IF(ISNUMBER(I601),I601,0))</f>
        <v/>
      </c>
      <c r="P601" s="35" t="str">
        <f aca="false">IF(A601="","",F601+O601+K601)</f>
        <v/>
      </c>
      <c r="Q601" s="36" t="str">
        <f aca="false">IF(A601="","",IF(P601-L601=M601,"OK","Divergente"))</f>
        <v/>
      </c>
    </row>
    <row r="602" customFormat="false" ht="15" hidden="false" customHeight="false" outlineLevel="0" collapsed="false">
      <c r="N602" s="34" t="str">
        <f aca="false">IF(D602="","",DATE(YEAR(D602),MONTH(D602),1))</f>
        <v/>
      </c>
      <c r="O602" s="35" t="str">
        <f aca="false">IF(A602="","",IF(ISNUMBER(I602),I602,0))</f>
        <v/>
      </c>
      <c r="P602" s="35" t="str">
        <f aca="false">IF(A602="","",F602+O602+K602)</f>
        <v/>
      </c>
      <c r="Q602" s="36" t="str">
        <f aca="false">IF(A602="","",IF(P602-L602=M602,"OK","Divergente"))</f>
        <v/>
      </c>
    </row>
    <row r="603" customFormat="false" ht="15" hidden="false" customHeight="false" outlineLevel="0" collapsed="false">
      <c r="N603" s="34" t="str">
        <f aca="false">IF(D603="","",DATE(YEAR(D603),MONTH(D603),1))</f>
        <v/>
      </c>
      <c r="O603" s="35" t="str">
        <f aca="false">IF(A603="","",IF(ISNUMBER(I603),I603,0))</f>
        <v/>
      </c>
      <c r="P603" s="35" t="str">
        <f aca="false">IF(A603="","",F603+O603+K603)</f>
        <v/>
      </c>
      <c r="Q603" s="36" t="str">
        <f aca="false">IF(A603="","",IF(P603-L603=M603,"OK","Divergente"))</f>
        <v/>
      </c>
    </row>
    <row r="604" customFormat="false" ht="15" hidden="false" customHeight="false" outlineLevel="0" collapsed="false">
      <c r="N604" s="34" t="str">
        <f aca="false">IF(D604="","",DATE(YEAR(D604),MONTH(D604),1))</f>
        <v/>
      </c>
      <c r="O604" s="35" t="str">
        <f aca="false">IF(A604="","",IF(ISNUMBER(I604),I604,0))</f>
        <v/>
      </c>
      <c r="P604" s="35" t="str">
        <f aca="false">IF(A604="","",F604+O604+K604)</f>
        <v/>
      </c>
      <c r="Q604" s="36" t="str">
        <f aca="false">IF(A604="","",IF(P604-L604=M604,"OK","Divergente"))</f>
        <v/>
      </c>
    </row>
    <row r="605" customFormat="false" ht="15" hidden="false" customHeight="false" outlineLevel="0" collapsed="false">
      <c r="N605" s="34" t="str">
        <f aca="false">IF(D605="","",DATE(YEAR(D605),MONTH(D605),1))</f>
        <v/>
      </c>
      <c r="O605" s="35" t="str">
        <f aca="false">IF(A605="","",IF(ISNUMBER(I605),I605,0))</f>
        <v/>
      </c>
      <c r="P605" s="35" t="str">
        <f aca="false">IF(A605="","",F605+O605+K605)</f>
        <v/>
      </c>
      <c r="Q605" s="36" t="str">
        <f aca="false">IF(A605="","",IF(P605-L605=M605,"OK","Divergente"))</f>
        <v/>
      </c>
    </row>
    <row r="606" customFormat="false" ht="15" hidden="false" customHeight="false" outlineLevel="0" collapsed="false">
      <c r="N606" s="34" t="str">
        <f aca="false">IF(D606="","",DATE(YEAR(D606),MONTH(D606),1))</f>
        <v/>
      </c>
      <c r="O606" s="35" t="str">
        <f aca="false">IF(A606="","",IF(ISNUMBER(I606),I606,0))</f>
        <v/>
      </c>
      <c r="P606" s="35" t="str">
        <f aca="false">IF(A606="","",F606+O606+K606)</f>
        <v/>
      </c>
      <c r="Q606" s="36" t="str">
        <f aca="false">IF(A606="","",IF(P606-L606=M606,"OK","Divergente"))</f>
        <v/>
      </c>
    </row>
    <row r="607" customFormat="false" ht="15" hidden="false" customHeight="false" outlineLevel="0" collapsed="false">
      <c r="N607" s="34" t="str">
        <f aca="false">IF(D607="","",DATE(YEAR(D607),MONTH(D607),1))</f>
        <v/>
      </c>
      <c r="O607" s="35" t="str">
        <f aca="false">IF(A607="","",IF(ISNUMBER(I607),I607,0))</f>
        <v/>
      </c>
      <c r="P607" s="35" t="str">
        <f aca="false">IF(A607="","",F607+O607+K607)</f>
        <v/>
      </c>
      <c r="Q607" s="36" t="str">
        <f aca="false">IF(A607="","",IF(P607-L607=M607,"OK","Divergente"))</f>
        <v/>
      </c>
    </row>
    <row r="608" customFormat="false" ht="15" hidden="false" customHeight="false" outlineLevel="0" collapsed="false">
      <c r="N608" s="34" t="str">
        <f aca="false">IF(D608="","",DATE(YEAR(D608),MONTH(D608),1))</f>
        <v/>
      </c>
      <c r="O608" s="35" t="str">
        <f aca="false">IF(A608="","",IF(ISNUMBER(I608),I608,0))</f>
        <v/>
      </c>
      <c r="P608" s="35" t="str">
        <f aca="false">IF(A608="","",F608+O608+K608)</f>
        <v/>
      </c>
      <c r="Q608" s="36" t="str">
        <f aca="false">IF(A608="","",IF(P608-L608=M608,"OK","Divergente"))</f>
        <v/>
      </c>
    </row>
    <row r="609" customFormat="false" ht="15" hidden="false" customHeight="false" outlineLevel="0" collapsed="false">
      <c r="N609" s="34" t="str">
        <f aca="false">IF(D609="","",DATE(YEAR(D609),MONTH(D609),1))</f>
        <v/>
      </c>
      <c r="O609" s="35" t="str">
        <f aca="false">IF(A609="","",IF(ISNUMBER(I609),I609,0))</f>
        <v/>
      </c>
      <c r="P609" s="35" t="str">
        <f aca="false">IF(A609="","",F609+O609+K609)</f>
        <v/>
      </c>
      <c r="Q609" s="36" t="str">
        <f aca="false">IF(A609="","",IF(P609-L609=M609,"OK","Divergente"))</f>
        <v/>
      </c>
    </row>
    <row r="610" customFormat="false" ht="15" hidden="false" customHeight="false" outlineLevel="0" collapsed="false">
      <c r="N610" s="34" t="str">
        <f aca="false">IF(D610="","",DATE(YEAR(D610),MONTH(D610),1))</f>
        <v/>
      </c>
      <c r="O610" s="35" t="str">
        <f aca="false">IF(A610="","",IF(ISNUMBER(I610),I610,0))</f>
        <v/>
      </c>
      <c r="P610" s="35" t="str">
        <f aca="false">IF(A610="","",F610+O610+K610)</f>
        <v/>
      </c>
      <c r="Q610" s="36" t="str">
        <f aca="false">IF(A610="","",IF(P610-L610=M610,"OK","Divergente"))</f>
        <v/>
      </c>
    </row>
    <row r="611" customFormat="false" ht="15" hidden="false" customHeight="false" outlineLevel="0" collapsed="false">
      <c r="N611" s="34" t="str">
        <f aca="false">IF(D611="","",DATE(YEAR(D611),MONTH(D611),1))</f>
        <v/>
      </c>
      <c r="O611" s="35" t="str">
        <f aca="false">IF(A611="","",IF(ISNUMBER(I611),I611,0))</f>
        <v/>
      </c>
      <c r="P611" s="35" t="str">
        <f aca="false">IF(A611="","",F611+O611+K611)</f>
        <v/>
      </c>
      <c r="Q611" s="36" t="str">
        <f aca="false">IF(A611="","",IF(P611-L611=M611,"OK","Divergente"))</f>
        <v/>
      </c>
    </row>
    <row r="612" customFormat="false" ht="15" hidden="false" customHeight="false" outlineLevel="0" collapsed="false">
      <c r="N612" s="34" t="str">
        <f aca="false">IF(D612="","",DATE(YEAR(D612),MONTH(D612),1))</f>
        <v/>
      </c>
      <c r="O612" s="35" t="str">
        <f aca="false">IF(A612="","",IF(ISNUMBER(I612),I612,0))</f>
        <v/>
      </c>
      <c r="P612" s="35" t="str">
        <f aca="false">IF(A612="","",F612+O612+K612)</f>
        <v/>
      </c>
      <c r="Q612" s="36" t="str">
        <f aca="false">IF(A612="","",IF(P612-L612=M612,"OK","Divergente"))</f>
        <v/>
      </c>
    </row>
    <row r="613" customFormat="false" ht="15" hidden="false" customHeight="false" outlineLevel="0" collapsed="false">
      <c r="N613" s="34" t="str">
        <f aca="false">IF(D613="","",DATE(YEAR(D613),MONTH(D613),1))</f>
        <v/>
      </c>
      <c r="O613" s="35" t="str">
        <f aca="false">IF(A613="","",IF(ISNUMBER(I613),I613,0))</f>
        <v/>
      </c>
      <c r="P613" s="35" t="str">
        <f aca="false">IF(A613="","",F613+O613+K613)</f>
        <v/>
      </c>
      <c r="Q613" s="36" t="str">
        <f aca="false">IF(A613="","",IF(P613-L613=M613,"OK","Divergente"))</f>
        <v/>
      </c>
    </row>
    <row r="614" customFormat="false" ht="15" hidden="false" customHeight="false" outlineLevel="0" collapsed="false">
      <c r="N614" s="34" t="str">
        <f aca="false">IF(D614="","",DATE(YEAR(D614),MONTH(D614),1))</f>
        <v/>
      </c>
      <c r="O614" s="35" t="str">
        <f aca="false">IF(A614="","",IF(ISNUMBER(I614),I614,0))</f>
        <v/>
      </c>
      <c r="P614" s="35" t="str">
        <f aca="false">IF(A614="","",F614+O614+K614)</f>
        <v/>
      </c>
      <c r="Q614" s="36" t="str">
        <f aca="false">IF(A614="","",IF(P614-L614=M614,"OK","Divergente"))</f>
        <v/>
      </c>
    </row>
    <row r="615" customFormat="false" ht="15" hidden="false" customHeight="false" outlineLevel="0" collapsed="false">
      <c r="N615" s="34" t="str">
        <f aca="false">IF(D615="","",DATE(YEAR(D615),MONTH(D615),1))</f>
        <v/>
      </c>
      <c r="O615" s="35" t="str">
        <f aca="false">IF(A615="","",IF(ISNUMBER(I615),I615,0))</f>
        <v/>
      </c>
      <c r="P615" s="35" t="str">
        <f aca="false">IF(A615="","",F615+O615+K615)</f>
        <v/>
      </c>
      <c r="Q615" s="36" t="str">
        <f aca="false">IF(A615="","",IF(P615-L615=M615,"OK","Divergente"))</f>
        <v/>
      </c>
    </row>
    <row r="616" customFormat="false" ht="15" hidden="false" customHeight="false" outlineLevel="0" collapsed="false">
      <c r="N616" s="34" t="str">
        <f aca="false">IF(D616="","",DATE(YEAR(D616),MONTH(D616),1))</f>
        <v/>
      </c>
      <c r="O616" s="35" t="str">
        <f aca="false">IF(A616="","",IF(ISNUMBER(I616),I616,0))</f>
        <v/>
      </c>
      <c r="P616" s="35" t="str">
        <f aca="false">IF(A616="","",F616+O616+K616)</f>
        <v/>
      </c>
      <c r="Q616" s="36" t="str">
        <f aca="false">IF(A616="","",IF(P616-L616=M616,"OK","Divergente"))</f>
        <v/>
      </c>
    </row>
    <row r="617" customFormat="false" ht="15" hidden="false" customHeight="false" outlineLevel="0" collapsed="false">
      <c r="N617" s="34" t="str">
        <f aca="false">IF(D617="","",DATE(YEAR(D617),MONTH(D617),1))</f>
        <v/>
      </c>
      <c r="O617" s="35" t="str">
        <f aca="false">IF(A617="","",IF(ISNUMBER(I617),I617,0))</f>
        <v/>
      </c>
      <c r="P617" s="35" t="str">
        <f aca="false">IF(A617="","",F617+O617+K617)</f>
        <v/>
      </c>
      <c r="Q617" s="36" t="str">
        <f aca="false">IF(A617="","",IF(P617-L617=M617,"OK","Divergente"))</f>
        <v/>
      </c>
    </row>
    <row r="618" customFormat="false" ht="15" hidden="false" customHeight="false" outlineLevel="0" collapsed="false">
      <c r="N618" s="34" t="str">
        <f aca="false">IF(D618="","",DATE(YEAR(D618),MONTH(D618),1))</f>
        <v/>
      </c>
      <c r="O618" s="35" t="str">
        <f aca="false">IF(A618="","",IF(ISNUMBER(I618),I618,0))</f>
        <v/>
      </c>
      <c r="P618" s="35" t="str">
        <f aca="false">IF(A618="","",F618+O618+K618)</f>
        <v/>
      </c>
      <c r="Q618" s="36" t="str">
        <f aca="false">IF(A618="","",IF(P618-L618=M618,"OK","Divergente"))</f>
        <v/>
      </c>
    </row>
    <row r="619" customFormat="false" ht="15" hidden="false" customHeight="false" outlineLevel="0" collapsed="false">
      <c r="N619" s="34" t="str">
        <f aca="false">IF(D619="","",DATE(YEAR(D619),MONTH(D619),1))</f>
        <v/>
      </c>
      <c r="O619" s="35" t="str">
        <f aca="false">IF(A619="","",IF(ISNUMBER(I619),I619,0))</f>
        <v/>
      </c>
      <c r="P619" s="35" t="str">
        <f aca="false">IF(A619="","",F619+O619+K619)</f>
        <v/>
      </c>
      <c r="Q619" s="36" t="str">
        <f aca="false">IF(A619="","",IF(P619-L619=M619,"OK","Divergente"))</f>
        <v/>
      </c>
    </row>
    <row r="620" customFormat="false" ht="15" hidden="false" customHeight="false" outlineLevel="0" collapsed="false">
      <c r="N620" s="34" t="str">
        <f aca="false">IF(D620="","",DATE(YEAR(D620),MONTH(D620),1))</f>
        <v/>
      </c>
      <c r="O620" s="35" t="str">
        <f aca="false">IF(A620="","",IF(ISNUMBER(I620),I620,0))</f>
        <v/>
      </c>
      <c r="P620" s="35" t="str">
        <f aca="false">IF(A620="","",F620+O620+K620)</f>
        <v/>
      </c>
      <c r="Q620" s="36" t="str">
        <f aca="false">IF(A620="","",IF(P620-L620=M620,"OK","Divergente"))</f>
        <v/>
      </c>
    </row>
    <row r="621" customFormat="false" ht="15" hidden="false" customHeight="false" outlineLevel="0" collapsed="false">
      <c r="N621" s="34" t="str">
        <f aca="false">IF(D621="","",DATE(YEAR(D621),MONTH(D621),1))</f>
        <v/>
      </c>
      <c r="O621" s="35" t="str">
        <f aca="false">IF(A621="","",IF(ISNUMBER(I621),I621,0))</f>
        <v/>
      </c>
      <c r="P621" s="35" t="str">
        <f aca="false">IF(A621="","",F621+O621+K621)</f>
        <v/>
      </c>
      <c r="Q621" s="36" t="str">
        <f aca="false">IF(A621="","",IF(P621-L621=M621,"OK","Divergente"))</f>
        <v/>
      </c>
    </row>
    <row r="622" customFormat="false" ht="15" hidden="false" customHeight="false" outlineLevel="0" collapsed="false">
      <c r="N622" s="34" t="str">
        <f aca="false">IF(D622="","",DATE(YEAR(D622),MONTH(D622),1))</f>
        <v/>
      </c>
      <c r="O622" s="35" t="str">
        <f aca="false">IF(A622="","",IF(ISNUMBER(I622),I622,0))</f>
        <v/>
      </c>
      <c r="P622" s="35" t="str">
        <f aca="false">IF(A622="","",F622+O622+K622)</f>
        <v/>
      </c>
      <c r="Q622" s="36" t="str">
        <f aca="false">IF(A622="","",IF(P622-L622=M622,"OK","Divergente"))</f>
        <v/>
      </c>
    </row>
    <row r="623" customFormat="false" ht="15" hidden="false" customHeight="false" outlineLevel="0" collapsed="false">
      <c r="N623" s="34" t="str">
        <f aca="false">IF(D623="","",DATE(YEAR(D623),MONTH(D623),1))</f>
        <v/>
      </c>
      <c r="O623" s="35" t="str">
        <f aca="false">IF(A623="","",IF(ISNUMBER(I623),I623,0))</f>
        <v/>
      </c>
      <c r="P623" s="35" t="str">
        <f aca="false">IF(A623="","",F623+O623+K623)</f>
        <v/>
      </c>
      <c r="Q623" s="36" t="str">
        <f aca="false">IF(A623="","",IF(P623-L623=M623,"OK","Divergente"))</f>
        <v/>
      </c>
    </row>
    <row r="624" customFormat="false" ht="15" hidden="false" customHeight="false" outlineLevel="0" collapsed="false">
      <c r="N624" s="34" t="str">
        <f aca="false">IF(D624="","",DATE(YEAR(D624),MONTH(D624),1))</f>
        <v/>
      </c>
      <c r="O624" s="35" t="str">
        <f aca="false">IF(A624="","",IF(ISNUMBER(I624),I624,0))</f>
        <v/>
      </c>
      <c r="P624" s="35" t="str">
        <f aca="false">IF(A624="","",F624+O624+K624)</f>
        <v/>
      </c>
      <c r="Q624" s="36" t="str">
        <f aca="false">IF(A624="","",IF(P624-L624=M624,"OK","Divergente"))</f>
        <v/>
      </c>
    </row>
    <row r="625" customFormat="false" ht="15" hidden="false" customHeight="false" outlineLevel="0" collapsed="false">
      <c r="N625" s="34" t="str">
        <f aca="false">IF(D625="","",DATE(YEAR(D625),MONTH(D625),1))</f>
        <v/>
      </c>
      <c r="O625" s="35" t="str">
        <f aca="false">IF(A625="","",IF(ISNUMBER(I625),I625,0))</f>
        <v/>
      </c>
      <c r="P625" s="35" t="str">
        <f aca="false">IF(A625="","",F625+O625+K625)</f>
        <v/>
      </c>
      <c r="Q625" s="36" t="str">
        <f aca="false">IF(A625="","",IF(P625-L625=M625,"OK","Divergente"))</f>
        <v/>
      </c>
    </row>
    <row r="626" customFormat="false" ht="15" hidden="false" customHeight="false" outlineLevel="0" collapsed="false">
      <c r="N626" s="34" t="str">
        <f aca="false">IF(D626="","",DATE(YEAR(D626),MONTH(D626),1))</f>
        <v/>
      </c>
      <c r="O626" s="35" t="str">
        <f aca="false">IF(A626="","",IF(ISNUMBER(I626),I626,0))</f>
        <v/>
      </c>
      <c r="P626" s="35" t="str">
        <f aca="false">IF(A626="","",F626+O626+K626)</f>
        <v/>
      </c>
      <c r="Q626" s="36" t="str">
        <f aca="false">IF(A626="","",IF(P626-L626=M626,"OK","Divergente"))</f>
        <v/>
      </c>
    </row>
    <row r="627" customFormat="false" ht="15" hidden="false" customHeight="false" outlineLevel="0" collapsed="false">
      <c r="N627" s="34" t="str">
        <f aca="false">IF(D627="","",DATE(YEAR(D627),MONTH(D627),1))</f>
        <v/>
      </c>
      <c r="O627" s="35" t="str">
        <f aca="false">IF(A627="","",IF(ISNUMBER(I627),I627,0))</f>
        <v/>
      </c>
      <c r="P627" s="35" t="str">
        <f aca="false">IF(A627="","",F627+O627+K627)</f>
        <v/>
      </c>
      <c r="Q627" s="36" t="str">
        <f aca="false">IF(A627="","",IF(P627-L627=M627,"OK","Divergente"))</f>
        <v/>
      </c>
    </row>
    <row r="628" customFormat="false" ht="15" hidden="false" customHeight="false" outlineLevel="0" collapsed="false">
      <c r="N628" s="34" t="str">
        <f aca="false">IF(D628="","",DATE(YEAR(D628),MONTH(D628),1))</f>
        <v/>
      </c>
      <c r="O628" s="35" t="str">
        <f aca="false">IF(A628="","",IF(ISNUMBER(I628),I628,0))</f>
        <v/>
      </c>
      <c r="P628" s="35" t="str">
        <f aca="false">IF(A628="","",F628+O628+K628)</f>
        <v/>
      </c>
      <c r="Q628" s="36" t="str">
        <f aca="false">IF(A628="","",IF(P628-L628=M628,"OK","Divergente"))</f>
        <v/>
      </c>
    </row>
    <row r="629" customFormat="false" ht="15" hidden="false" customHeight="false" outlineLevel="0" collapsed="false">
      <c r="N629" s="34" t="str">
        <f aca="false">IF(D629="","",DATE(YEAR(D629),MONTH(D629),1))</f>
        <v/>
      </c>
      <c r="O629" s="35" t="str">
        <f aca="false">IF(A629="","",IF(ISNUMBER(I629),I629,0))</f>
        <v/>
      </c>
      <c r="P629" s="35" t="str">
        <f aca="false">IF(A629="","",F629+O629+K629)</f>
        <v/>
      </c>
      <c r="Q629" s="36" t="str">
        <f aca="false">IF(A629="","",IF(P629-L629=M629,"OK","Divergente"))</f>
        <v/>
      </c>
    </row>
    <row r="630" customFormat="false" ht="15" hidden="false" customHeight="false" outlineLevel="0" collapsed="false">
      <c r="N630" s="34" t="str">
        <f aca="false">IF(D630="","",DATE(YEAR(D630),MONTH(D630),1))</f>
        <v/>
      </c>
      <c r="O630" s="35" t="str">
        <f aca="false">IF(A630="","",IF(ISNUMBER(I630),I630,0))</f>
        <v/>
      </c>
      <c r="P630" s="35" t="str">
        <f aca="false">IF(A630="","",F630+O630+K630)</f>
        <v/>
      </c>
      <c r="Q630" s="36" t="str">
        <f aca="false">IF(A630="","",IF(P630-L630=M630,"OK","Divergente"))</f>
        <v/>
      </c>
    </row>
    <row r="631" customFormat="false" ht="15" hidden="false" customHeight="false" outlineLevel="0" collapsed="false">
      <c r="N631" s="34" t="str">
        <f aca="false">IF(D631="","",DATE(YEAR(D631),MONTH(D631),1))</f>
        <v/>
      </c>
      <c r="O631" s="35" t="str">
        <f aca="false">IF(A631="","",IF(ISNUMBER(I631),I631,0))</f>
        <v/>
      </c>
      <c r="P631" s="35" t="str">
        <f aca="false">IF(A631="","",F631+O631+K631)</f>
        <v/>
      </c>
      <c r="Q631" s="36" t="str">
        <f aca="false">IF(A631="","",IF(P631-L631=M631,"OK","Divergente"))</f>
        <v/>
      </c>
    </row>
    <row r="632" customFormat="false" ht="15" hidden="false" customHeight="false" outlineLevel="0" collapsed="false">
      <c r="N632" s="34" t="str">
        <f aca="false">IF(D632="","",DATE(YEAR(D632),MONTH(D632),1))</f>
        <v/>
      </c>
      <c r="O632" s="35" t="str">
        <f aca="false">IF(A632="","",IF(ISNUMBER(I632),I632,0))</f>
        <v/>
      </c>
      <c r="P632" s="35" t="str">
        <f aca="false">IF(A632="","",F632+O632+K632)</f>
        <v/>
      </c>
      <c r="Q632" s="36" t="str">
        <f aca="false">IF(A632="","",IF(P632-L632=M632,"OK","Divergente"))</f>
        <v/>
      </c>
    </row>
    <row r="633" customFormat="false" ht="15" hidden="false" customHeight="false" outlineLevel="0" collapsed="false">
      <c r="N633" s="34" t="str">
        <f aca="false">IF(D633="","",DATE(YEAR(D633),MONTH(D633),1))</f>
        <v/>
      </c>
      <c r="O633" s="35" t="str">
        <f aca="false">IF(A633="","",IF(ISNUMBER(I633),I633,0))</f>
        <v/>
      </c>
      <c r="P633" s="35" t="str">
        <f aca="false">IF(A633="","",F633+O633+K633)</f>
        <v/>
      </c>
      <c r="Q633" s="36" t="str">
        <f aca="false">IF(A633="","",IF(P633-L633=M633,"OK","Divergente"))</f>
        <v/>
      </c>
    </row>
    <row r="634" customFormat="false" ht="15" hidden="false" customHeight="false" outlineLevel="0" collapsed="false">
      <c r="N634" s="34" t="str">
        <f aca="false">IF(D634="","",DATE(YEAR(D634),MONTH(D634),1))</f>
        <v/>
      </c>
      <c r="O634" s="35" t="str">
        <f aca="false">IF(A634="","",IF(ISNUMBER(I634),I634,0))</f>
        <v/>
      </c>
      <c r="P634" s="35" t="str">
        <f aca="false">IF(A634="","",F634+O634+K634)</f>
        <v/>
      </c>
      <c r="Q634" s="36" t="str">
        <f aca="false">IF(A634="","",IF(P634-L634=M634,"OK","Divergente"))</f>
        <v/>
      </c>
    </row>
    <row r="635" customFormat="false" ht="15" hidden="false" customHeight="false" outlineLevel="0" collapsed="false">
      <c r="N635" s="34" t="str">
        <f aca="false">IF(D635="","",DATE(YEAR(D635),MONTH(D635),1))</f>
        <v/>
      </c>
      <c r="O635" s="35" t="str">
        <f aca="false">IF(A635="","",IF(ISNUMBER(I635),I635,0))</f>
        <v/>
      </c>
      <c r="P635" s="35" t="str">
        <f aca="false">IF(A635="","",F635+O635+K635)</f>
        <v/>
      </c>
      <c r="Q635" s="36" t="str">
        <f aca="false">IF(A635="","",IF(P635-L635=M635,"OK","Divergente"))</f>
        <v/>
      </c>
    </row>
    <row r="636" customFormat="false" ht="15" hidden="false" customHeight="false" outlineLevel="0" collapsed="false">
      <c r="N636" s="34" t="str">
        <f aca="false">IF(D636="","",DATE(YEAR(D636),MONTH(D636),1))</f>
        <v/>
      </c>
      <c r="O636" s="35" t="str">
        <f aca="false">IF(A636="","",IF(ISNUMBER(I636),I636,0))</f>
        <v/>
      </c>
      <c r="P636" s="35" t="str">
        <f aca="false">IF(A636="","",F636+O636+K636)</f>
        <v/>
      </c>
      <c r="Q636" s="36" t="str">
        <f aca="false">IF(A636="","",IF(P636-L636=M636,"OK","Divergente"))</f>
        <v/>
      </c>
    </row>
    <row r="637" customFormat="false" ht="15" hidden="false" customHeight="false" outlineLevel="0" collapsed="false">
      <c r="N637" s="34" t="str">
        <f aca="false">IF(D637="","",DATE(YEAR(D637),MONTH(D637),1))</f>
        <v/>
      </c>
      <c r="O637" s="35" t="str">
        <f aca="false">IF(A637="","",IF(ISNUMBER(I637),I637,0))</f>
        <v/>
      </c>
      <c r="P637" s="35" t="str">
        <f aca="false">IF(A637="","",F637+O637+K637)</f>
        <v/>
      </c>
      <c r="Q637" s="36" t="str">
        <f aca="false">IF(A637="","",IF(P637-L637=M637,"OK","Divergente"))</f>
        <v/>
      </c>
    </row>
    <row r="638" customFormat="false" ht="15" hidden="false" customHeight="false" outlineLevel="0" collapsed="false">
      <c r="N638" s="34" t="str">
        <f aca="false">IF(D638="","",DATE(YEAR(D638),MONTH(D638),1))</f>
        <v/>
      </c>
      <c r="O638" s="35" t="str">
        <f aca="false">IF(A638="","",IF(ISNUMBER(I638),I638,0))</f>
        <v/>
      </c>
      <c r="P638" s="35" t="str">
        <f aca="false">IF(A638="","",F638+O638+K638)</f>
        <v/>
      </c>
      <c r="Q638" s="36" t="str">
        <f aca="false">IF(A638="","",IF(P638-L638=M638,"OK","Divergente"))</f>
        <v/>
      </c>
    </row>
    <row r="639" customFormat="false" ht="15" hidden="false" customHeight="false" outlineLevel="0" collapsed="false">
      <c r="N639" s="34" t="str">
        <f aca="false">IF(D639="","",DATE(YEAR(D639),MONTH(D639),1))</f>
        <v/>
      </c>
      <c r="O639" s="35" t="str">
        <f aca="false">IF(A639="","",IF(ISNUMBER(I639),I639,0))</f>
        <v/>
      </c>
      <c r="P639" s="35" t="str">
        <f aca="false">IF(A639="","",F639+O639+K639)</f>
        <v/>
      </c>
      <c r="Q639" s="36" t="str">
        <f aca="false">IF(A639="","",IF(P639-L639=M639,"OK","Divergente"))</f>
        <v/>
      </c>
    </row>
    <row r="640" customFormat="false" ht="15" hidden="false" customHeight="false" outlineLevel="0" collapsed="false">
      <c r="N640" s="34" t="str">
        <f aca="false">IF(D640="","",DATE(YEAR(D640),MONTH(D640),1))</f>
        <v/>
      </c>
      <c r="O640" s="35" t="str">
        <f aca="false">IF(A640="","",IF(ISNUMBER(I640),I640,0))</f>
        <v/>
      </c>
      <c r="P640" s="35" t="str">
        <f aca="false">IF(A640="","",F640+O640+K640)</f>
        <v/>
      </c>
      <c r="Q640" s="36" t="str">
        <f aca="false">IF(A640="","",IF(P640-L640=M640,"OK","Divergente"))</f>
        <v/>
      </c>
    </row>
    <row r="641" customFormat="false" ht="15" hidden="false" customHeight="false" outlineLevel="0" collapsed="false">
      <c r="N641" s="34" t="str">
        <f aca="false">IF(D641="","",DATE(YEAR(D641),MONTH(D641),1))</f>
        <v/>
      </c>
      <c r="O641" s="35" t="str">
        <f aca="false">IF(A641="","",IF(ISNUMBER(I641),I641,0))</f>
        <v/>
      </c>
      <c r="P641" s="35" t="str">
        <f aca="false">IF(A641="","",F641+O641+K641)</f>
        <v/>
      </c>
      <c r="Q641" s="36" t="str">
        <f aca="false">IF(A641="","",IF(P641-L641=M641,"OK","Divergente"))</f>
        <v/>
      </c>
    </row>
    <row r="642" customFormat="false" ht="15" hidden="false" customHeight="false" outlineLevel="0" collapsed="false">
      <c r="N642" s="34" t="str">
        <f aca="false">IF(D642="","",DATE(YEAR(D642),MONTH(D642),1))</f>
        <v/>
      </c>
      <c r="O642" s="35" t="str">
        <f aca="false">IF(A642="","",IF(ISNUMBER(I642),I642,0))</f>
        <v/>
      </c>
      <c r="P642" s="35" t="str">
        <f aca="false">IF(A642="","",F642+O642+K642)</f>
        <v/>
      </c>
      <c r="Q642" s="36" t="str">
        <f aca="false">IF(A642="","",IF(P642-L642=M642,"OK","Divergente"))</f>
        <v/>
      </c>
    </row>
    <row r="643" customFormat="false" ht="15" hidden="false" customHeight="false" outlineLevel="0" collapsed="false">
      <c r="N643" s="34" t="str">
        <f aca="false">IF(D643="","",DATE(YEAR(D643),MONTH(D643),1))</f>
        <v/>
      </c>
      <c r="O643" s="35" t="str">
        <f aca="false">IF(A643="","",IF(ISNUMBER(I643),I643,0))</f>
        <v/>
      </c>
      <c r="P643" s="35" t="str">
        <f aca="false">IF(A643="","",F643+O643+K643)</f>
        <v/>
      </c>
      <c r="Q643" s="36" t="str">
        <f aca="false">IF(A643="","",IF(P643-L643=M643,"OK","Divergente"))</f>
        <v/>
      </c>
    </row>
    <row r="644" customFormat="false" ht="15" hidden="false" customHeight="false" outlineLevel="0" collapsed="false">
      <c r="N644" s="34" t="str">
        <f aca="false">IF(D644="","",DATE(YEAR(D644),MONTH(D644),1))</f>
        <v/>
      </c>
      <c r="O644" s="35" t="str">
        <f aca="false">IF(A644="","",IF(ISNUMBER(I644),I644,0))</f>
        <v/>
      </c>
      <c r="P644" s="35" t="str">
        <f aca="false">IF(A644="","",F644+O644+K644)</f>
        <v/>
      </c>
      <c r="Q644" s="36" t="str">
        <f aca="false">IF(A644="","",IF(P644-L644=M644,"OK","Divergente"))</f>
        <v/>
      </c>
    </row>
    <row r="645" customFormat="false" ht="15" hidden="false" customHeight="false" outlineLevel="0" collapsed="false">
      <c r="N645" s="34" t="str">
        <f aca="false">IF(D645="","",DATE(YEAR(D645),MONTH(D645),1))</f>
        <v/>
      </c>
      <c r="O645" s="35" t="str">
        <f aca="false">IF(A645="","",IF(ISNUMBER(I645),I645,0))</f>
        <v/>
      </c>
      <c r="P645" s="35" t="str">
        <f aca="false">IF(A645="","",F645+O645+K645)</f>
        <v/>
      </c>
      <c r="Q645" s="36" t="str">
        <f aca="false">IF(A645="","",IF(P645-L645=M645,"OK","Divergente"))</f>
        <v/>
      </c>
    </row>
    <row r="646" customFormat="false" ht="15" hidden="false" customHeight="false" outlineLevel="0" collapsed="false">
      <c r="N646" s="34" t="str">
        <f aca="false">IF(D646="","",DATE(YEAR(D646),MONTH(D646),1))</f>
        <v/>
      </c>
      <c r="O646" s="35" t="str">
        <f aca="false">IF(A646="","",IF(ISNUMBER(I646),I646,0))</f>
        <v/>
      </c>
      <c r="P646" s="35" t="str">
        <f aca="false">IF(A646="","",F646+O646+K646)</f>
        <v/>
      </c>
      <c r="Q646" s="36" t="str">
        <f aca="false">IF(A646="","",IF(P646-L646=M646,"OK","Divergente"))</f>
        <v/>
      </c>
    </row>
    <row r="647" customFormat="false" ht="15" hidden="false" customHeight="false" outlineLevel="0" collapsed="false">
      <c r="N647" s="34" t="str">
        <f aca="false">IF(D647="","",DATE(YEAR(D647),MONTH(D647),1))</f>
        <v/>
      </c>
      <c r="O647" s="35" t="str">
        <f aca="false">IF(A647="","",IF(ISNUMBER(I647),I647,0))</f>
        <v/>
      </c>
      <c r="P647" s="35" t="str">
        <f aca="false">IF(A647="","",F647+O647+K647)</f>
        <v/>
      </c>
      <c r="Q647" s="36" t="str">
        <f aca="false">IF(A647="","",IF(P647-L647=M647,"OK","Divergente"))</f>
        <v/>
      </c>
    </row>
    <row r="648" customFormat="false" ht="15" hidden="false" customHeight="false" outlineLevel="0" collapsed="false">
      <c r="N648" s="34" t="str">
        <f aca="false">IF(D648="","",DATE(YEAR(D648),MONTH(D648),1))</f>
        <v/>
      </c>
      <c r="O648" s="35" t="str">
        <f aca="false">IF(A648="","",IF(ISNUMBER(I648),I648,0))</f>
        <v/>
      </c>
      <c r="P648" s="35" t="str">
        <f aca="false">IF(A648="","",F648+O648+K648)</f>
        <v/>
      </c>
      <c r="Q648" s="36" t="str">
        <f aca="false">IF(A648="","",IF(P648-L648=M648,"OK","Divergente"))</f>
        <v/>
      </c>
    </row>
    <row r="649" customFormat="false" ht="15" hidden="false" customHeight="false" outlineLevel="0" collapsed="false">
      <c r="N649" s="34" t="str">
        <f aca="false">IF(D649="","",DATE(YEAR(D649),MONTH(D649),1))</f>
        <v/>
      </c>
      <c r="O649" s="35" t="str">
        <f aca="false">IF(A649="","",IF(ISNUMBER(I649),I649,0))</f>
        <v/>
      </c>
      <c r="P649" s="35" t="str">
        <f aca="false">IF(A649="","",F649+O649+K649)</f>
        <v/>
      </c>
      <c r="Q649" s="36" t="str">
        <f aca="false">IF(A649="","",IF(P649-L649=M649,"OK","Divergente"))</f>
        <v/>
      </c>
    </row>
    <row r="650" customFormat="false" ht="15" hidden="false" customHeight="false" outlineLevel="0" collapsed="false">
      <c r="N650" s="34" t="str">
        <f aca="false">IF(D650="","",DATE(YEAR(D650),MONTH(D650),1))</f>
        <v/>
      </c>
      <c r="O650" s="35" t="str">
        <f aca="false">IF(A650="","",IF(ISNUMBER(I650),I650,0))</f>
        <v/>
      </c>
      <c r="P650" s="35" t="str">
        <f aca="false">IF(A650="","",F650+O650+K650)</f>
        <v/>
      </c>
      <c r="Q650" s="36" t="str">
        <f aca="false">IF(A650="","",IF(P650-L650=M650,"OK","Divergente"))</f>
        <v/>
      </c>
    </row>
    <row r="651" customFormat="false" ht="15" hidden="false" customHeight="false" outlineLevel="0" collapsed="false">
      <c r="N651" s="34" t="str">
        <f aca="false">IF(D651="","",DATE(YEAR(D651),MONTH(D651),1))</f>
        <v/>
      </c>
      <c r="O651" s="35" t="str">
        <f aca="false">IF(A651="","",IF(ISNUMBER(I651),I651,0))</f>
        <v/>
      </c>
      <c r="P651" s="35" t="str">
        <f aca="false">IF(A651="","",F651+O651+K651)</f>
        <v/>
      </c>
      <c r="Q651" s="36" t="str">
        <f aca="false">IF(A651="","",IF(P651-L651=M651,"OK","Divergente"))</f>
        <v/>
      </c>
    </row>
    <row r="652" customFormat="false" ht="15" hidden="false" customHeight="false" outlineLevel="0" collapsed="false">
      <c r="N652" s="34" t="str">
        <f aca="false">IF(D652="","",DATE(YEAR(D652),MONTH(D652),1))</f>
        <v/>
      </c>
      <c r="O652" s="35" t="str">
        <f aca="false">IF(A652="","",IF(ISNUMBER(I652),I652,0))</f>
        <v/>
      </c>
      <c r="P652" s="35" t="str">
        <f aca="false">IF(A652="","",F652+O652+K652)</f>
        <v/>
      </c>
      <c r="Q652" s="36" t="str">
        <f aca="false">IF(A652="","",IF(P652-L652=M652,"OK","Divergente"))</f>
        <v/>
      </c>
    </row>
    <row r="653" customFormat="false" ht="15" hidden="false" customHeight="false" outlineLevel="0" collapsed="false">
      <c r="N653" s="34" t="str">
        <f aca="false">IF(D653="","",DATE(YEAR(D653),MONTH(D653),1))</f>
        <v/>
      </c>
      <c r="O653" s="35" t="str">
        <f aca="false">IF(A653="","",IF(ISNUMBER(I653),I653,0))</f>
        <v/>
      </c>
      <c r="P653" s="35" t="str">
        <f aca="false">IF(A653="","",F653+O653+K653)</f>
        <v/>
      </c>
      <c r="Q653" s="36" t="str">
        <f aca="false">IF(A653="","",IF(P653-L653=M653,"OK","Divergente"))</f>
        <v/>
      </c>
    </row>
    <row r="654" customFormat="false" ht="15" hidden="false" customHeight="false" outlineLevel="0" collapsed="false">
      <c r="N654" s="34" t="str">
        <f aca="false">IF(D654="","",DATE(YEAR(D654),MONTH(D654),1))</f>
        <v/>
      </c>
      <c r="O654" s="35" t="str">
        <f aca="false">IF(A654="","",IF(ISNUMBER(I654),I654,0))</f>
        <v/>
      </c>
      <c r="P654" s="35" t="str">
        <f aca="false">IF(A654="","",F654+O654+K654)</f>
        <v/>
      </c>
      <c r="Q654" s="36" t="str">
        <f aca="false">IF(A654="","",IF(P654-L654=M654,"OK","Divergente"))</f>
        <v/>
      </c>
    </row>
    <row r="655" customFormat="false" ht="15" hidden="false" customHeight="false" outlineLevel="0" collapsed="false">
      <c r="N655" s="34" t="str">
        <f aca="false">IF(D655="","",DATE(YEAR(D655),MONTH(D655),1))</f>
        <v/>
      </c>
      <c r="O655" s="35" t="str">
        <f aca="false">IF(A655="","",IF(ISNUMBER(I655),I655,0))</f>
        <v/>
      </c>
      <c r="P655" s="35" t="str">
        <f aca="false">IF(A655="","",F655+O655+K655)</f>
        <v/>
      </c>
      <c r="Q655" s="36" t="str">
        <f aca="false">IF(A655="","",IF(P655-L655=M655,"OK","Divergente"))</f>
        <v/>
      </c>
    </row>
    <row r="656" customFormat="false" ht="15" hidden="false" customHeight="false" outlineLevel="0" collapsed="false">
      <c r="N656" s="34" t="str">
        <f aca="false">IF(D656="","",DATE(YEAR(D656),MONTH(D656),1))</f>
        <v/>
      </c>
      <c r="O656" s="35" t="str">
        <f aca="false">IF(A656="","",IF(ISNUMBER(I656),I656,0))</f>
        <v/>
      </c>
      <c r="P656" s="35" t="str">
        <f aca="false">IF(A656="","",F656+O656+K656)</f>
        <v/>
      </c>
      <c r="Q656" s="36" t="str">
        <f aca="false">IF(A656="","",IF(P656-L656=M656,"OK","Divergente"))</f>
        <v/>
      </c>
    </row>
    <row r="657" customFormat="false" ht="15" hidden="false" customHeight="false" outlineLevel="0" collapsed="false">
      <c r="N657" s="34" t="str">
        <f aca="false">IF(D657="","",DATE(YEAR(D657),MONTH(D657),1))</f>
        <v/>
      </c>
      <c r="O657" s="35" t="str">
        <f aca="false">IF(A657="","",IF(ISNUMBER(I657),I657,0))</f>
        <v/>
      </c>
      <c r="P657" s="35" t="str">
        <f aca="false">IF(A657="","",F657+O657+K657)</f>
        <v/>
      </c>
      <c r="Q657" s="36" t="str">
        <f aca="false">IF(A657="","",IF(P657-L657=M657,"OK","Divergente"))</f>
        <v/>
      </c>
    </row>
    <row r="658" customFormat="false" ht="15" hidden="false" customHeight="false" outlineLevel="0" collapsed="false">
      <c r="N658" s="34" t="str">
        <f aca="false">IF(D658="","",DATE(YEAR(D658),MONTH(D658),1))</f>
        <v/>
      </c>
      <c r="O658" s="35" t="str">
        <f aca="false">IF(A658="","",IF(ISNUMBER(I658),I658,0))</f>
        <v/>
      </c>
      <c r="P658" s="35" t="str">
        <f aca="false">IF(A658="","",F658+O658+K658)</f>
        <v/>
      </c>
      <c r="Q658" s="36" t="str">
        <f aca="false">IF(A658="","",IF(P658-L658=M658,"OK","Divergente"))</f>
        <v/>
      </c>
    </row>
    <row r="659" customFormat="false" ht="15" hidden="false" customHeight="false" outlineLevel="0" collapsed="false">
      <c r="N659" s="34" t="str">
        <f aca="false">IF(D659="","",DATE(YEAR(D659),MONTH(D659),1))</f>
        <v/>
      </c>
      <c r="O659" s="35" t="str">
        <f aca="false">IF(A659="","",IF(ISNUMBER(I659),I659,0))</f>
        <v/>
      </c>
      <c r="P659" s="35" t="str">
        <f aca="false">IF(A659="","",F659+O659+K659)</f>
        <v/>
      </c>
      <c r="Q659" s="36" t="str">
        <f aca="false">IF(A659="","",IF(P659-L659=M659,"OK","Divergente"))</f>
        <v/>
      </c>
    </row>
    <row r="660" customFormat="false" ht="15" hidden="false" customHeight="false" outlineLevel="0" collapsed="false">
      <c r="N660" s="34" t="str">
        <f aca="false">IF(D660="","",DATE(YEAR(D660),MONTH(D660),1))</f>
        <v/>
      </c>
      <c r="O660" s="35" t="str">
        <f aca="false">IF(A660="","",IF(ISNUMBER(I660),I660,0))</f>
        <v/>
      </c>
      <c r="P660" s="35" t="str">
        <f aca="false">IF(A660="","",F660+O660+K660)</f>
        <v/>
      </c>
      <c r="Q660" s="36" t="str">
        <f aca="false">IF(A660="","",IF(P660-L660=M660,"OK","Divergente"))</f>
        <v/>
      </c>
    </row>
    <row r="661" customFormat="false" ht="15" hidden="false" customHeight="false" outlineLevel="0" collapsed="false">
      <c r="N661" s="34" t="str">
        <f aca="false">IF(D661="","",DATE(YEAR(D661),MONTH(D661),1))</f>
        <v/>
      </c>
      <c r="O661" s="35" t="str">
        <f aca="false">IF(A661="","",IF(ISNUMBER(I661),I661,0))</f>
        <v/>
      </c>
      <c r="P661" s="35" t="str">
        <f aca="false">IF(A661="","",F661+O661+K661)</f>
        <v/>
      </c>
      <c r="Q661" s="36" t="str">
        <f aca="false">IF(A661="","",IF(P661-L661=M661,"OK","Divergente"))</f>
        <v/>
      </c>
    </row>
    <row r="662" customFormat="false" ht="15" hidden="false" customHeight="false" outlineLevel="0" collapsed="false">
      <c r="N662" s="34" t="str">
        <f aca="false">IF(D662="","",DATE(YEAR(D662),MONTH(D662),1))</f>
        <v/>
      </c>
      <c r="O662" s="35" t="str">
        <f aca="false">IF(A662="","",IF(ISNUMBER(I662),I662,0))</f>
        <v/>
      </c>
      <c r="P662" s="35" t="str">
        <f aca="false">IF(A662="","",F662+O662+K662)</f>
        <v/>
      </c>
      <c r="Q662" s="36" t="str">
        <f aca="false">IF(A662="","",IF(P662-L662=M662,"OK","Divergente"))</f>
        <v/>
      </c>
    </row>
    <row r="663" customFormat="false" ht="15" hidden="false" customHeight="false" outlineLevel="0" collapsed="false">
      <c r="N663" s="34" t="str">
        <f aca="false">IF(D663="","",DATE(YEAR(D663),MONTH(D663),1))</f>
        <v/>
      </c>
      <c r="O663" s="35" t="str">
        <f aca="false">IF(A663="","",IF(ISNUMBER(I663),I663,0))</f>
        <v/>
      </c>
      <c r="P663" s="35" t="str">
        <f aca="false">IF(A663="","",F663+O663+K663)</f>
        <v/>
      </c>
      <c r="Q663" s="36" t="str">
        <f aca="false">IF(A663="","",IF(P663-L663=M663,"OK","Divergente"))</f>
        <v/>
      </c>
    </row>
    <row r="664" customFormat="false" ht="15" hidden="false" customHeight="false" outlineLevel="0" collapsed="false">
      <c r="N664" s="34" t="str">
        <f aca="false">IF(D664="","",DATE(YEAR(D664),MONTH(D664),1))</f>
        <v/>
      </c>
      <c r="O664" s="35" t="str">
        <f aca="false">IF(A664="","",IF(ISNUMBER(I664),I664,0))</f>
        <v/>
      </c>
      <c r="P664" s="35" t="str">
        <f aca="false">IF(A664="","",F664+O664+K664)</f>
        <v/>
      </c>
      <c r="Q664" s="36" t="str">
        <f aca="false">IF(A664="","",IF(P664-L664=M664,"OK","Divergente"))</f>
        <v/>
      </c>
    </row>
    <row r="665" customFormat="false" ht="15" hidden="false" customHeight="false" outlineLevel="0" collapsed="false">
      <c r="N665" s="34" t="str">
        <f aca="false">IF(D665="","",DATE(YEAR(D665),MONTH(D665),1))</f>
        <v/>
      </c>
      <c r="O665" s="35" t="str">
        <f aca="false">IF(A665="","",IF(ISNUMBER(I665),I665,0))</f>
        <v/>
      </c>
      <c r="P665" s="35" t="str">
        <f aca="false">IF(A665="","",F665+O665+K665)</f>
        <v/>
      </c>
      <c r="Q665" s="36" t="str">
        <f aca="false">IF(A665="","",IF(P665-L665=M665,"OK","Divergente"))</f>
        <v/>
      </c>
    </row>
    <row r="666" customFormat="false" ht="15" hidden="false" customHeight="false" outlineLevel="0" collapsed="false">
      <c r="N666" s="34" t="str">
        <f aca="false">IF(D666="","",DATE(YEAR(D666),MONTH(D666),1))</f>
        <v/>
      </c>
      <c r="O666" s="35" t="str">
        <f aca="false">IF(A666="","",IF(ISNUMBER(I666),I666,0))</f>
        <v/>
      </c>
      <c r="P666" s="35" t="str">
        <f aca="false">IF(A666="","",F666+O666+K666)</f>
        <v/>
      </c>
      <c r="Q666" s="36" t="str">
        <f aca="false">IF(A666="","",IF(P666-L666=M666,"OK","Divergente"))</f>
        <v/>
      </c>
    </row>
    <row r="667" customFormat="false" ht="15" hidden="false" customHeight="false" outlineLevel="0" collapsed="false">
      <c r="N667" s="34" t="str">
        <f aca="false">IF(D667="","",DATE(YEAR(D667),MONTH(D667),1))</f>
        <v/>
      </c>
      <c r="O667" s="35" t="str">
        <f aca="false">IF(A667="","",IF(ISNUMBER(I667),I667,0))</f>
        <v/>
      </c>
      <c r="P667" s="35" t="str">
        <f aca="false">IF(A667="","",F667+O667+K667)</f>
        <v/>
      </c>
      <c r="Q667" s="36" t="str">
        <f aca="false">IF(A667="","",IF(P667-L667=M667,"OK","Divergente"))</f>
        <v/>
      </c>
    </row>
    <row r="668" customFormat="false" ht="15" hidden="false" customHeight="false" outlineLevel="0" collapsed="false">
      <c r="N668" s="34" t="str">
        <f aca="false">IF(D668="","",DATE(YEAR(D668),MONTH(D668),1))</f>
        <v/>
      </c>
      <c r="O668" s="35" t="str">
        <f aca="false">IF(A668="","",IF(ISNUMBER(I668),I668,0))</f>
        <v/>
      </c>
      <c r="P668" s="35" t="str">
        <f aca="false">IF(A668="","",F668+O668+K668)</f>
        <v/>
      </c>
      <c r="Q668" s="36" t="str">
        <f aca="false">IF(A668="","",IF(P668-L668=M668,"OK","Divergente"))</f>
        <v/>
      </c>
    </row>
    <row r="669" customFormat="false" ht="15" hidden="false" customHeight="false" outlineLevel="0" collapsed="false">
      <c r="N669" s="34" t="str">
        <f aca="false">IF(D669="","",DATE(YEAR(D669),MONTH(D669),1))</f>
        <v/>
      </c>
      <c r="O669" s="35" t="str">
        <f aca="false">IF(A669="","",IF(ISNUMBER(I669),I669,0))</f>
        <v/>
      </c>
      <c r="P669" s="35" t="str">
        <f aca="false">IF(A669="","",F669+O669+K669)</f>
        <v/>
      </c>
      <c r="Q669" s="36" t="str">
        <f aca="false">IF(A669="","",IF(P669-L669=M669,"OK","Divergente"))</f>
        <v/>
      </c>
    </row>
    <row r="670" customFormat="false" ht="15" hidden="false" customHeight="false" outlineLevel="0" collapsed="false">
      <c r="N670" s="34" t="str">
        <f aca="false">IF(D670="","",DATE(YEAR(D670),MONTH(D670),1))</f>
        <v/>
      </c>
      <c r="O670" s="35" t="str">
        <f aca="false">IF(A670="","",IF(ISNUMBER(I670),I670,0))</f>
        <v/>
      </c>
      <c r="P670" s="35" t="str">
        <f aca="false">IF(A670="","",F670+O670+K670)</f>
        <v/>
      </c>
      <c r="Q670" s="36" t="str">
        <f aca="false">IF(A670="","",IF(P670-L670=M670,"OK","Divergente"))</f>
        <v/>
      </c>
    </row>
    <row r="671" customFormat="false" ht="15" hidden="false" customHeight="false" outlineLevel="0" collapsed="false">
      <c r="N671" s="34" t="str">
        <f aca="false">IF(D671="","",DATE(YEAR(D671),MONTH(D671),1))</f>
        <v/>
      </c>
      <c r="O671" s="35" t="str">
        <f aca="false">IF(A671="","",IF(ISNUMBER(I671),I671,0))</f>
        <v/>
      </c>
      <c r="P671" s="35" t="str">
        <f aca="false">IF(A671="","",F671+O671+K671)</f>
        <v/>
      </c>
      <c r="Q671" s="36" t="str">
        <f aca="false">IF(A671="","",IF(P671-L671=M671,"OK","Divergente"))</f>
        <v/>
      </c>
    </row>
    <row r="672" customFormat="false" ht="15" hidden="false" customHeight="false" outlineLevel="0" collapsed="false">
      <c r="N672" s="34" t="str">
        <f aca="false">IF(D672="","",DATE(YEAR(D672),MONTH(D672),1))</f>
        <v/>
      </c>
      <c r="O672" s="35" t="str">
        <f aca="false">IF(A672="","",IF(ISNUMBER(I672),I672,0))</f>
        <v/>
      </c>
      <c r="P672" s="35" t="str">
        <f aca="false">IF(A672="","",F672+O672+K672)</f>
        <v/>
      </c>
      <c r="Q672" s="36" t="str">
        <f aca="false">IF(A672="","",IF(P672-L672=M672,"OK","Divergente"))</f>
        <v/>
      </c>
    </row>
    <row r="673" customFormat="false" ht="15" hidden="false" customHeight="false" outlineLevel="0" collapsed="false">
      <c r="N673" s="34" t="str">
        <f aca="false">IF(D673="","",DATE(YEAR(D673),MONTH(D673),1))</f>
        <v/>
      </c>
      <c r="O673" s="35" t="str">
        <f aca="false">IF(A673="","",IF(ISNUMBER(I673),I673,0))</f>
        <v/>
      </c>
      <c r="P673" s="35" t="str">
        <f aca="false">IF(A673="","",F673+O673+K673)</f>
        <v/>
      </c>
      <c r="Q673" s="36" t="str">
        <f aca="false">IF(A673="","",IF(P673-L673=M673,"OK","Divergente"))</f>
        <v/>
      </c>
    </row>
    <row r="674" customFormat="false" ht="15" hidden="false" customHeight="false" outlineLevel="0" collapsed="false">
      <c r="N674" s="34" t="str">
        <f aca="false">IF(D674="","",DATE(YEAR(D674),MONTH(D674),1))</f>
        <v/>
      </c>
      <c r="O674" s="35" t="str">
        <f aca="false">IF(A674="","",IF(ISNUMBER(I674),I674,0))</f>
        <v/>
      </c>
      <c r="P674" s="35" t="str">
        <f aca="false">IF(A674="","",F674+O674+K674)</f>
        <v/>
      </c>
      <c r="Q674" s="36" t="str">
        <f aca="false">IF(A674="","",IF(P674-L674=M674,"OK","Divergente"))</f>
        <v/>
      </c>
    </row>
    <row r="675" customFormat="false" ht="15" hidden="false" customHeight="false" outlineLevel="0" collapsed="false">
      <c r="N675" s="34" t="str">
        <f aca="false">IF(D675="","",DATE(YEAR(D675),MONTH(D675),1))</f>
        <v/>
      </c>
      <c r="O675" s="35" t="str">
        <f aca="false">IF(A675="","",IF(ISNUMBER(I675),I675,0))</f>
        <v/>
      </c>
      <c r="P675" s="35" t="str">
        <f aca="false">IF(A675="","",F675+O675+K675)</f>
        <v/>
      </c>
      <c r="Q675" s="36" t="str">
        <f aca="false">IF(A675="","",IF(P675-L675=M675,"OK","Divergente"))</f>
        <v/>
      </c>
    </row>
    <row r="676" customFormat="false" ht="15" hidden="false" customHeight="false" outlineLevel="0" collapsed="false">
      <c r="N676" s="34" t="str">
        <f aca="false">IF(D676="","",DATE(YEAR(D676),MONTH(D676),1))</f>
        <v/>
      </c>
      <c r="O676" s="35" t="str">
        <f aca="false">IF(A676="","",IF(ISNUMBER(I676),I676,0))</f>
        <v/>
      </c>
      <c r="P676" s="35" t="str">
        <f aca="false">IF(A676="","",F676+O676+K676)</f>
        <v/>
      </c>
      <c r="Q676" s="36" t="str">
        <f aca="false">IF(A676="","",IF(P676-L676=M676,"OK","Divergente"))</f>
        <v/>
      </c>
    </row>
    <row r="677" customFormat="false" ht="15" hidden="false" customHeight="false" outlineLevel="0" collapsed="false">
      <c r="N677" s="34" t="str">
        <f aca="false">IF(D677="","",DATE(YEAR(D677),MONTH(D677),1))</f>
        <v/>
      </c>
      <c r="O677" s="35" t="str">
        <f aca="false">IF(A677="","",IF(ISNUMBER(I677),I677,0))</f>
        <v/>
      </c>
      <c r="P677" s="35" t="str">
        <f aca="false">IF(A677="","",F677+O677+K677)</f>
        <v/>
      </c>
      <c r="Q677" s="36" t="str">
        <f aca="false">IF(A677="","",IF(P677-L677=M677,"OK","Divergente"))</f>
        <v/>
      </c>
    </row>
    <row r="678" customFormat="false" ht="15" hidden="false" customHeight="false" outlineLevel="0" collapsed="false">
      <c r="N678" s="34" t="str">
        <f aca="false">IF(D678="","",DATE(YEAR(D678),MONTH(D678),1))</f>
        <v/>
      </c>
      <c r="O678" s="35" t="str">
        <f aca="false">IF(A678="","",IF(ISNUMBER(I678),I678,0))</f>
        <v/>
      </c>
      <c r="P678" s="35" t="str">
        <f aca="false">IF(A678="","",F678+O678+K678)</f>
        <v/>
      </c>
      <c r="Q678" s="36" t="str">
        <f aca="false">IF(A678="","",IF(P678-L678=M678,"OK","Divergente"))</f>
        <v/>
      </c>
    </row>
    <row r="679" customFormat="false" ht="15" hidden="false" customHeight="false" outlineLevel="0" collapsed="false">
      <c r="N679" s="34" t="str">
        <f aca="false">IF(D679="","",DATE(YEAR(D679),MONTH(D679),1))</f>
        <v/>
      </c>
      <c r="O679" s="35" t="str">
        <f aca="false">IF(A679="","",IF(ISNUMBER(I679),I679,0))</f>
        <v/>
      </c>
      <c r="P679" s="35" t="str">
        <f aca="false">IF(A679="","",F679+O679+K679)</f>
        <v/>
      </c>
      <c r="Q679" s="36" t="str">
        <f aca="false">IF(A679="","",IF(P679-L679=M679,"OK","Divergente"))</f>
        <v/>
      </c>
    </row>
    <row r="680" customFormat="false" ht="15" hidden="false" customHeight="false" outlineLevel="0" collapsed="false">
      <c r="N680" s="34" t="str">
        <f aca="false">IF(D680="","",DATE(YEAR(D680),MONTH(D680),1))</f>
        <v/>
      </c>
      <c r="O680" s="35" t="str">
        <f aca="false">IF(A680="","",IF(ISNUMBER(I680),I680,0))</f>
        <v/>
      </c>
      <c r="P680" s="35" t="str">
        <f aca="false">IF(A680="","",F680+O680+K680)</f>
        <v/>
      </c>
      <c r="Q680" s="36" t="str">
        <f aca="false">IF(A680="","",IF(P680-L680=M680,"OK","Divergente"))</f>
        <v/>
      </c>
    </row>
    <row r="681" customFormat="false" ht="15" hidden="false" customHeight="false" outlineLevel="0" collapsed="false">
      <c r="N681" s="34" t="str">
        <f aca="false">IF(D681="","",DATE(YEAR(D681),MONTH(D681),1))</f>
        <v/>
      </c>
      <c r="O681" s="35" t="str">
        <f aca="false">IF(A681="","",IF(ISNUMBER(I681),I681,0))</f>
        <v/>
      </c>
      <c r="P681" s="35" t="str">
        <f aca="false">IF(A681="","",F681+O681+K681)</f>
        <v/>
      </c>
      <c r="Q681" s="36" t="str">
        <f aca="false">IF(A681="","",IF(P681-L681=M681,"OK","Divergente"))</f>
        <v/>
      </c>
    </row>
    <row r="682" customFormat="false" ht="15" hidden="false" customHeight="false" outlineLevel="0" collapsed="false">
      <c r="N682" s="34" t="str">
        <f aca="false">IF(D682="","",DATE(YEAR(D682),MONTH(D682),1))</f>
        <v/>
      </c>
      <c r="O682" s="35" t="str">
        <f aca="false">IF(A682="","",IF(ISNUMBER(I682),I682,0))</f>
        <v/>
      </c>
      <c r="P682" s="35" t="str">
        <f aca="false">IF(A682="","",F682+O682+K682)</f>
        <v/>
      </c>
      <c r="Q682" s="36" t="str">
        <f aca="false">IF(A682="","",IF(P682-L682=M682,"OK","Divergente"))</f>
        <v/>
      </c>
    </row>
    <row r="683" customFormat="false" ht="15" hidden="false" customHeight="false" outlineLevel="0" collapsed="false">
      <c r="N683" s="34" t="str">
        <f aca="false">IF(D683="","",DATE(YEAR(D683),MONTH(D683),1))</f>
        <v/>
      </c>
      <c r="O683" s="35" t="str">
        <f aca="false">IF(A683="","",IF(ISNUMBER(I683),I683,0))</f>
        <v/>
      </c>
      <c r="P683" s="35" t="str">
        <f aca="false">IF(A683="","",F683+O683+K683)</f>
        <v/>
      </c>
      <c r="Q683" s="36" t="str">
        <f aca="false">IF(A683="","",IF(P683-L683=M683,"OK","Divergente"))</f>
        <v/>
      </c>
    </row>
    <row r="684" customFormat="false" ht="15" hidden="false" customHeight="false" outlineLevel="0" collapsed="false">
      <c r="N684" s="34" t="str">
        <f aca="false">IF(D684="","",DATE(YEAR(D684),MONTH(D684),1))</f>
        <v/>
      </c>
      <c r="O684" s="35" t="str">
        <f aca="false">IF(A684="","",IF(ISNUMBER(I684),I684,0))</f>
        <v/>
      </c>
      <c r="P684" s="35" t="str">
        <f aca="false">IF(A684="","",F684+O684+K684)</f>
        <v/>
      </c>
      <c r="Q684" s="36" t="str">
        <f aca="false">IF(A684="","",IF(P684-L684=M684,"OK","Divergente"))</f>
        <v/>
      </c>
    </row>
    <row r="685" customFormat="false" ht="15" hidden="false" customHeight="false" outlineLevel="0" collapsed="false">
      <c r="N685" s="34" t="str">
        <f aca="false">IF(D685="","",DATE(YEAR(D685),MONTH(D685),1))</f>
        <v/>
      </c>
      <c r="O685" s="35" t="str">
        <f aca="false">IF(A685="","",IF(ISNUMBER(I685),I685,0))</f>
        <v/>
      </c>
      <c r="P685" s="35" t="str">
        <f aca="false">IF(A685="","",F685+O685+K685)</f>
        <v/>
      </c>
      <c r="Q685" s="36" t="str">
        <f aca="false">IF(A685="","",IF(P685-L685=M685,"OK","Divergente"))</f>
        <v/>
      </c>
    </row>
    <row r="686" customFormat="false" ht="15" hidden="false" customHeight="false" outlineLevel="0" collapsed="false">
      <c r="N686" s="34" t="str">
        <f aca="false">IF(D686="","",DATE(YEAR(D686),MONTH(D686),1))</f>
        <v/>
      </c>
      <c r="O686" s="35" t="str">
        <f aca="false">IF(A686="","",IF(ISNUMBER(I686),I686,0))</f>
        <v/>
      </c>
      <c r="P686" s="35" t="str">
        <f aca="false">IF(A686="","",F686+O686+K686)</f>
        <v/>
      </c>
      <c r="Q686" s="36" t="str">
        <f aca="false">IF(A686="","",IF(P686-L686=M686,"OK","Divergente"))</f>
        <v/>
      </c>
    </row>
    <row r="687" customFormat="false" ht="15" hidden="false" customHeight="false" outlineLevel="0" collapsed="false">
      <c r="N687" s="34" t="str">
        <f aca="false">IF(D687="","",DATE(YEAR(D687),MONTH(D687),1))</f>
        <v/>
      </c>
      <c r="O687" s="35" t="str">
        <f aca="false">IF(A687="","",IF(ISNUMBER(I687),I687,0))</f>
        <v/>
      </c>
      <c r="P687" s="35" t="str">
        <f aca="false">IF(A687="","",F687+O687+K687)</f>
        <v/>
      </c>
      <c r="Q687" s="36" t="str">
        <f aca="false">IF(A687="","",IF(P687-L687=M687,"OK","Divergente"))</f>
        <v/>
      </c>
    </row>
    <row r="688" customFormat="false" ht="15" hidden="false" customHeight="false" outlineLevel="0" collapsed="false">
      <c r="N688" s="34" t="str">
        <f aca="false">IF(D688="","",DATE(YEAR(D688),MONTH(D688),1))</f>
        <v/>
      </c>
      <c r="O688" s="35" t="str">
        <f aca="false">IF(A688="","",IF(ISNUMBER(I688),I688,0))</f>
        <v/>
      </c>
      <c r="P688" s="35" t="str">
        <f aca="false">IF(A688="","",F688+O688+K688)</f>
        <v/>
      </c>
      <c r="Q688" s="36" t="str">
        <f aca="false">IF(A688="","",IF(P688-L688=M688,"OK","Divergente"))</f>
        <v/>
      </c>
    </row>
    <row r="689" customFormat="false" ht="15" hidden="false" customHeight="false" outlineLevel="0" collapsed="false">
      <c r="N689" s="34" t="str">
        <f aca="false">IF(D689="","",DATE(YEAR(D689),MONTH(D689),1))</f>
        <v/>
      </c>
      <c r="O689" s="35" t="str">
        <f aca="false">IF(A689="","",IF(ISNUMBER(I689),I689,0))</f>
        <v/>
      </c>
      <c r="P689" s="35" t="str">
        <f aca="false">IF(A689="","",F689+O689+K689)</f>
        <v/>
      </c>
      <c r="Q689" s="36" t="str">
        <f aca="false">IF(A689="","",IF(P689-L689=M689,"OK","Divergente"))</f>
        <v/>
      </c>
    </row>
    <row r="690" customFormat="false" ht="15" hidden="false" customHeight="false" outlineLevel="0" collapsed="false">
      <c r="N690" s="34" t="str">
        <f aca="false">IF(D690="","",DATE(YEAR(D690),MONTH(D690),1))</f>
        <v/>
      </c>
      <c r="O690" s="35" t="str">
        <f aca="false">IF(A690="","",IF(ISNUMBER(I690),I690,0))</f>
        <v/>
      </c>
      <c r="P690" s="35" t="str">
        <f aca="false">IF(A690="","",F690+O690+K690)</f>
        <v/>
      </c>
      <c r="Q690" s="36" t="str">
        <f aca="false">IF(A690="","",IF(P690-L690=M690,"OK","Divergente"))</f>
        <v/>
      </c>
    </row>
    <row r="691" customFormat="false" ht="15" hidden="false" customHeight="false" outlineLevel="0" collapsed="false">
      <c r="N691" s="34" t="str">
        <f aca="false">IF(D691="","",DATE(YEAR(D691),MONTH(D691),1))</f>
        <v/>
      </c>
      <c r="O691" s="35" t="str">
        <f aca="false">IF(A691="","",IF(ISNUMBER(I691),I691,0))</f>
        <v/>
      </c>
      <c r="P691" s="35" t="str">
        <f aca="false">IF(A691="","",F691+O691+K691)</f>
        <v/>
      </c>
      <c r="Q691" s="36" t="str">
        <f aca="false">IF(A691="","",IF(P691-L691=M691,"OK","Divergente"))</f>
        <v/>
      </c>
    </row>
    <row r="692" customFormat="false" ht="15" hidden="false" customHeight="false" outlineLevel="0" collapsed="false">
      <c r="N692" s="34" t="str">
        <f aca="false">IF(D692="","",DATE(YEAR(D692),MONTH(D692),1))</f>
        <v/>
      </c>
      <c r="O692" s="35" t="str">
        <f aca="false">IF(A692="","",IF(ISNUMBER(I692),I692,0))</f>
        <v/>
      </c>
      <c r="P692" s="35" t="str">
        <f aca="false">IF(A692="","",F692+O692+K692)</f>
        <v/>
      </c>
      <c r="Q692" s="36" t="str">
        <f aca="false">IF(A692="","",IF(P692-L692=M692,"OK","Divergente"))</f>
        <v/>
      </c>
    </row>
    <row r="693" customFormat="false" ht="15" hidden="false" customHeight="false" outlineLevel="0" collapsed="false">
      <c r="N693" s="34" t="str">
        <f aca="false">IF(D693="","",DATE(YEAR(D693),MONTH(D693),1))</f>
        <v/>
      </c>
      <c r="O693" s="35" t="str">
        <f aca="false">IF(A693="","",IF(ISNUMBER(I693),I693,0))</f>
        <v/>
      </c>
      <c r="P693" s="35" t="str">
        <f aca="false">IF(A693="","",F693+O693+K693)</f>
        <v/>
      </c>
      <c r="Q693" s="36" t="str">
        <f aca="false">IF(A693="","",IF(P693-L693=M693,"OK","Divergente"))</f>
        <v/>
      </c>
    </row>
    <row r="694" customFormat="false" ht="15" hidden="false" customHeight="false" outlineLevel="0" collapsed="false">
      <c r="N694" s="34" t="str">
        <f aca="false">IF(D694="","",DATE(YEAR(D694),MONTH(D694),1))</f>
        <v/>
      </c>
      <c r="O694" s="35" t="str">
        <f aca="false">IF(A694="","",IF(ISNUMBER(I694),I694,0))</f>
        <v/>
      </c>
      <c r="P694" s="35" t="str">
        <f aca="false">IF(A694="","",F694+O694+K694)</f>
        <v/>
      </c>
      <c r="Q694" s="36" t="str">
        <f aca="false">IF(A694="","",IF(P694-L694=M694,"OK","Divergente"))</f>
        <v/>
      </c>
    </row>
    <row r="695" customFormat="false" ht="15" hidden="false" customHeight="false" outlineLevel="0" collapsed="false">
      <c r="N695" s="34" t="str">
        <f aca="false">IF(D695="","",DATE(YEAR(D695),MONTH(D695),1))</f>
        <v/>
      </c>
      <c r="O695" s="35" t="str">
        <f aca="false">IF(A695="","",IF(ISNUMBER(I695),I695,0))</f>
        <v/>
      </c>
      <c r="P695" s="35" t="str">
        <f aca="false">IF(A695="","",F695+O695+K695)</f>
        <v/>
      </c>
      <c r="Q695" s="36" t="str">
        <f aca="false">IF(A695="","",IF(P695-L695=M695,"OK","Divergente"))</f>
        <v/>
      </c>
    </row>
    <row r="696" customFormat="false" ht="15" hidden="false" customHeight="false" outlineLevel="0" collapsed="false">
      <c r="N696" s="34" t="str">
        <f aca="false">IF(D696="","",DATE(YEAR(D696),MONTH(D696),1))</f>
        <v/>
      </c>
      <c r="O696" s="35" t="str">
        <f aca="false">IF(A696="","",IF(ISNUMBER(I696),I696,0))</f>
        <v/>
      </c>
      <c r="P696" s="35" t="str">
        <f aca="false">IF(A696="","",F696+O696+K696)</f>
        <v/>
      </c>
      <c r="Q696" s="36" t="str">
        <f aca="false">IF(A696="","",IF(P696-L696=M696,"OK","Divergente"))</f>
        <v/>
      </c>
    </row>
    <row r="697" customFormat="false" ht="15" hidden="false" customHeight="false" outlineLevel="0" collapsed="false">
      <c r="N697" s="34" t="str">
        <f aca="false">IF(D697="","",DATE(YEAR(D697),MONTH(D697),1))</f>
        <v/>
      </c>
      <c r="O697" s="35" t="str">
        <f aca="false">IF(A697="","",IF(ISNUMBER(I697),I697,0))</f>
        <v/>
      </c>
      <c r="P697" s="35" t="str">
        <f aca="false">IF(A697="","",F697+O697+K697)</f>
        <v/>
      </c>
      <c r="Q697" s="36" t="str">
        <f aca="false">IF(A697="","",IF(P697-L697=M697,"OK","Divergente"))</f>
        <v/>
      </c>
    </row>
    <row r="698" customFormat="false" ht="15" hidden="false" customHeight="false" outlineLevel="0" collapsed="false">
      <c r="N698" s="34" t="str">
        <f aca="false">IF(D698="","",DATE(YEAR(D698),MONTH(D698),1))</f>
        <v/>
      </c>
      <c r="O698" s="35" t="str">
        <f aca="false">IF(A698="","",IF(ISNUMBER(I698),I698,0))</f>
        <v/>
      </c>
      <c r="P698" s="35" t="str">
        <f aca="false">IF(A698="","",F698+O698+K698)</f>
        <v/>
      </c>
      <c r="Q698" s="36" t="str">
        <f aca="false">IF(A698="","",IF(P698-L698=M698,"OK","Divergente"))</f>
        <v/>
      </c>
    </row>
    <row r="699" customFormat="false" ht="15" hidden="false" customHeight="false" outlineLevel="0" collapsed="false">
      <c r="N699" s="34" t="str">
        <f aca="false">IF(D699="","",DATE(YEAR(D699),MONTH(D699),1))</f>
        <v/>
      </c>
      <c r="O699" s="35" t="str">
        <f aca="false">IF(A699="","",IF(ISNUMBER(I699),I699,0))</f>
        <v/>
      </c>
      <c r="P699" s="35" t="str">
        <f aca="false">IF(A699="","",F699+O699+K699)</f>
        <v/>
      </c>
      <c r="Q699" s="36" t="str">
        <f aca="false">IF(A699="","",IF(P699-L699=M699,"OK","Divergente"))</f>
        <v/>
      </c>
    </row>
    <row r="700" customFormat="false" ht="15" hidden="false" customHeight="false" outlineLevel="0" collapsed="false">
      <c r="N700" s="34" t="str">
        <f aca="false">IF(D700="","",DATE(YEAR(D700),MONTH(D700),1))</f>
        <v/>
      </c>
      <c r="O700" s="35" t="str">
        <f aca="false">IF(A700="","",IF(ISNUMBER(I700),I700,0))</f>
        <v/>
      </c>
      <c r="P700" s="35" t="str">
        <f aca="false">IF(A700="","",F700+O700+K700)</f>
        <v/>
      </c>
      <c r="Q700" s="36" t="str">
        <f aca="false">IF(A700="","",IF(P700-L700=M700,"OK","Divergente"))</f>
        <v/>
      </c>
    </row>
    <row r="701" customFormat="false" ht="15" hidden="false" customHeight="false" outlineLevel="0" collapsed="false">
      <c r="N701" s="34" t="str">
        <f aca="false">IF(D701="","",DATE(YEAR(D701),MONTH(D701),1))</f>
        <v/>
      </c>
      <c r="O701" s="35" t="str">
        <f aca="false">IF(A701="","",IF(ISNUMBER(I701),I701,0))</f>
        <v/>
      </c>
      <c r="P701" s="35" t="str">
        <f aca="false">IF(A701="","",F701+O701+K701)</f>
        <v/>
      </c>
      <c r="Q701" s="36" t="str">
        <f aca="false">IF(A701="","",IF(P701-L701=M701,"OK","Divergente"))</f>
        <v/>
      </c>
    </row>
    <row r="702" customFormat="false" ht="15" hidden="false" customHeight="false" outlineLevel="0" collapsed="false">
      <c r="N702" s="34" t="str">
        <f aca="false">IF(D702="","",DATE(YEAR(D702),MONTH(D702),1))</f>
        <v/>
      </c>
      <c r="O702" s="35" t="str">
        <f aca="false">IF(A702="","",IF(ISNUMBER(I702),I702,0))</f>
        <v/>
      </c>
      <c r="P702" s="35" t="str">
        <f aca="false">IF(A702="","",F702+O702+K702)</f>
        <v/>
      </c>
      <c r="Q702" s="36" t="str">
        <f aca="false">IF(A702="","",IF(P702-L702=M702,"OK","Divergente"))</f>
        <v/>
      </c>
    </row>
    <row r="703" customFormat="false" ht="15" hidden="false" customHeight="false" outlineLevel="0" collapsed="false">
      <c r="N703" s="34" t="str">
        <f aca="false">IF(D703="","",DATE(YEAR(D703),MONTH(D703),1))</f>
        <v/>
      </c>
      <c r="O703" s="35" t="str">
        <f aca="false">IF(A703="","",IF(ISNUMBER(I703),I703,0))</f>
        <v/>
      </c>
      <c r="P703" s="35" t="str">
        <f aca="false">IF(A703="","",F703+O703+K703)</f>
        <v/>
      </c>
      <c r="Q703" s="36" t="str">
        <f aca="false">IF(A703="","",IF(P703-L703=M703,"OK","Divergente"))</f>
        <v/>
      </c>
    </row>
    <row r="704" customFormat="false" ht="15" hidden="false" customHeight="false" outlineLevel="0" collapsed="false">
      <c r="N704" s="34" t="str">
        <f aca="false">IF(D704="","",DATE(YEAR(D704),MONTH(D704),1))</f>
        <v/>
      </c>
      <c r="O704" s="35" t="str">
        <f aca="false">IF(A704="","",IF(ISNUMBER(I704),I704,0))</f>
        <v/>
      </c>
      <c r="P704" s="35" t="str">
        <f aca="false">IF(A704="","",F704+O704+K704)</f>
        <v/>
      </c>
      <c r="Q704" s="36" t="str">
        <f aca="false">IF(A704="","",IF(P704-L704=M704,"OK","Divergente"))</f>
        <v/>
      </c>
    </row>
    <row r="705" customFormat="false" ht="15" hidden="false" customHeight="false" outlineLevel="0" collapsed="false">
      <c r="N705" s="34" t="str">
        <f aca="false">IF(D705="","",DATE(YEAR(D705),MONTH(D705),1))</f>
        <v/>
      </c>
      <c r="O705" s="35" t="str">
        <f aca="false">IF(A705="","",IF(ISNUMBER(I705),I705,0))</f>
        <v/>
      </c>
      <c r="P705" s="35" t="str">
        <f aca="false">IF(A705="","",F705+O705+K705)</f>
        <v/>
      </c>
      <c r="Q705" s="36" t="str">
        <f aca="false">IF(A705="","",IF(P705-L705=M705,"OK","Divergente"))</f>
        <v/>
      </c>
    </row>
    <row r="706" customFormat="false" ht="15" hidden="false" customHeight="false" outlineLevel="0" collapsed="false">
      <c r="N706" s="34" t="str">
        <f aca="false">IF(D706="","",DATE(YEAR(D706),MONTH(D706),1))</f>
        <v/>
      </c>
      <c r="O706" s="35" t="str">
        <f aca="false">IF(A706="","",IF(ISNUMBER(I706),I706,0))</f>
        <v/>
      </c>
      <c r="P706" s="35" t="str">
        <f aca="false">IF(A706="","",F706+O706+K706)</f>
        <v/>
      </c>
      <c r="Q706" s="36" t="str">
        <f aca="false">IF(A706="","",IF(P706-L706=M706,"OK","Divergente"))</f>
        <v/>
      </c>
    </row>
    <row r="707" customFormat="false" ht="15" hidden="false" customHeight="false" outlineLevel="0" collapsed="false">
      <c r="N707" s="34" t="str">
        <f aca="false">IF(D707="","",DATE(YEAR(D707),MONTH(D707),1))</f>
        <v/>
      </c>
      <c r="O707" s="35" t="str">
        <f aca="false">IF(A707="","",IF(ISNUMBER(I707),I707,0))</f>
        <v/>
      </c>
      <c r="P707" s="35" t="str">
        <f aca="false">IF(A707="","",F707+O707+K707)</f>
        <v/>
      </c>
      <c r="Q707" s="36" t="str">
        <f aca="false">IF(A707="","",IF(P707-L707=M707,"OK","Divergente"))</f>
        <v/>
      </c>
    </row>
    <row r="708" customFormat="false" ht="15" hidden="false" customHeight="false" outlineLevel="0" collapsed="false">
      <c r="N708" s="34" t="str">
        <f aca="false">IF(D708="","",DATE(YEAR(D708),MONTH(D708),1))</f>
        <v/>
      </c>
      <c r="O708" s="35" t="str">
        <f aca="false">IF(A708="","",IF(ISNUMBER(I708),I708,0))</f>
        <v/>
      </c>
      <c r="P708" s="35" t="str">
        <f aca="false">IF(A708="","",F708+O708+K708)</f>
        <v/>
      </c>
      <c r="Q708" s="36" t="str">
        <f aca="false">IF(A708="","",IF(P708-L708=M708,"OK","Divergente"))</f>
        <v/>
      </c>
    </row>
    <row r="709" customFormat="false" ht="15" hidden="false" customHeight="false" outlineLevel="0" collapsed="false">
      <c r="N709" s="34" t="str">
        <f aca="false">IF(D709="","",DATE(YEAR(D709),MONTH(D709),1))</f>
        <v/>
      </c>
      <c r="O709" s="35" t="str">
        <f aca="false">IF(A709="","",IF(ISNUMBER(I709),I709,0))</f>
        <v/>
      </c>
      <c r="P709" s="35" t="str">
        <f aca="false">IF(A709="","",F709+O709+K709)</f>
        <v/>
      </c>
      <c r="Q709" s="36" t="str">
        <f aca="false">IF(A709="","",IF(P709-L709=M709,"OK","Divergente"))</f>
        <v/>
      </c>
    </row>
    <row r="710" customFormat="false" ht="15" hidden="false" customHeight="false" outlineLevel="0" collapsed="false">
      <c r="N710" s="34" t="str">
        <f aca="false">IF(D710="","",DATE(YEAR(D710),MONTH(D710),1))</f>
        <v/>
      </c>
      <c r="O710" s="35" t="str">
        <f aca="false">IF(A710="","",IF(ISNUMBER(I710),I710,0))</f>
        <v/>
      </c>
      <c r="P710" s="35" t="str">
        <f aca="false">IF(A710="","",F710+O710+K710)</f>
        <v/>
      </c>
      <c r="Q710" s="36" t="str">
        <f aca="false">IF(A710="","",IF(P710-L710=M710,"OK","Divergente"))</f>
        <v/>
      </c>
    </row>
    <row r="711" customFormat="false" ht="15" hidden="false" customHeight="false" outlineLevel="0" collapsed="false">
      <c r="N711" s="34" t="str">
        <f aca="false">IF(D711="","",DATE(YEAR(D711),MONTH(D711),1))</f>
        <v/>
      </c>
      <c r="O711" s="35" t="str">
        <f aca="false">IF(A711="","",IF(ISNUMBER(I711),I711,0))</f>
        <v/>
      </c>
      <c r="P711" s="35" t="str">
        <f aca="false">IF(A711="","",F711+O711+K711)</f>
        <v/>
      </c>
      <c r="Q711" s="36" t="str">
        <f aca="false">IF(A711="","",IF(P711-L711=M711,"OK","Divergente"))</f>
        <v/>
      </c>
    </row>
    <row r="712" customFormat="false" ht="15" hidden="false" customHeight="false" outlineLevel="0" collapsed="false">
      <c r="N712" s="34" t="str">
        <f aca="false">IF(D712="","",DATE(YEAR(D712),MONTH(D712),1))</f>
        <v/>
      </c>
      <c r="O712" s="35" t="str">
        <f aca="false">IF(A712="","",IF(ISNUMBER(I712),I712,0))</f>
        <v/>
      </c>
      <c r="P712" s="35" t="str">
        <f aca="false">IF(A712="","",F712+O712+K712)</f>
        <v/>
      </c>
      <c r="Q712" s="36" t="str">
        <f aca="false">IF(A712="","",IF(P712-L712=M712,"OK","Divergente"))</f>
        <v/>
      </c>
    </row>
    <row r="713" customFormat="false" ht="15" hidden="false" customHeight="false" outlineLevel="0" collapsed="false">
      <c r="N713" s="34" t="str">
        <f aca="false">IF(D713="","",DATE(YEAR(D713),MONTH(D713),1))</f>
        <v/>
      </c>
      <c r="O713" s="35" t="str">
        <f aca="false">IF(A713="","",IF(ISNUMBER(I713),I713,0))</f>
        <v/>
      </c>
      <c r="P713" s="35" t="str">
        <f aca="false">IF(A713="","",F713+O713+K713)</f>
        <v/>
      </c>
      <c r="Q713" s="36" t="str">
        <f aca="false">IF(A713="","",IF(P713-L713=M713,"OK","Divergente"))</f>
        <v/>
      </c>
    </row>
    <row r="714" customFormat="false" ht="15" hidden="false" customHeight="false" outlineLevel="0" collapsed="false">
      <c r="N714" s="34" t="str">
        <f aca="false">IF(D714="","",DATE(YEAR(D714),MONTH(D714),1))</f>
        <v/>
      </c>
      <c r="O714" s="35" t="str">
        <f aca="false">IF(A714="","",IF(ISNUMBER(I714),I714,0))</f>
        <v/>
      </c>
      <c r="P714" s="35" t="str">
        <f aca="false">IF(A714="","",F714+O714+K714)</f>
        <v/>
      </c>
      <c r="Q714" s="36" t="str">
        <f aca="false">IF(A714="","",IF(P714-L714=M714,"OK","Divergente"))</f>
        <v/>
      </c>
    </row>
    <row r="715" customFormat="false" ht="15" hidden="false" customHeight="false" outlineLevel="0" collapsed="false">
      <c r="N715" s="34" t="str">
        <f aca="false">IF(D715="","",DATE(YEAR(D715),MONTH(D715),1))</f>
        <v/>
      </c>
      <c r="O715" s="35" t="str">
        <f aca="false">IF(A715="","",IF(ISNUMBER(I715),I715,0))</f>
        <v/>
      </c>
      <c r="P715" s="35" t="str">
        <f aca="false">IF(A715="","",F715+O715+K715)</f>
        <v/>
      </c>
      <c r="Q715" s="36" t="str">
        <f aca="false">IF(A715="","",IF(P715-L715=M715,"OK","Divergente"))</f>
        <v/>
      </c>
    </row>
    <row r="716" customFormat="false" ht="15" hidden="false" customHeight="false" outlineLevel="0" collapsed="false">
      <c r="N716" s="34" t="str">
        <f aca="false">IF(D716="","",DATE(YEAR(D716),MONTH(D716),1))</f>
        <v/>
      </c>
      <c r="O716" s="35" t="str">
        <f aca="false">IF(A716="","",IF(ISNUMBER(I716),I716,0))</f>
        <v/>
      </c>
      <c r="P716" s="35" t="str">
        <f aca="false">IF(A716="","",F716+O716+K716)</f>
        <v/>
      </c>
      <c r="Q716" s="36" t="str">
        <f aca="false">IF(A716="","",IF(P716-L716=M716,"OK","Divergente"))</f>
        <v/>
      </c>
    </row>
    <row r="717" customFormat="false" ht="15" hidden="false" customHeight="false" outlineLevel="0" collapsed="false">
      <c r="N717" s="34" t="str">
        <f aca="false">IF(D717="","",DATE(YEAR(D717),MONTH(D717),1))</f>
        <v/>
      </c>
      <c r="O717" s="35" t="str">
        <f aca="false">IF(A717="","",IF(ISNUMBER(I717),I717,0))</f>
        <v/>
      </c>
      <c r="P717" s="35" t="str">
        <f aca="false">IF(A717="","",F717+O717+K717)</f>
        <v/>
      </c>
      <c r="Q717" s="36" t="str">
        <f aca="false">IF(A717="","",IF(P717-L717=M717,"OK","Divergente"))</f>
        <v/>
      </c>
    </row>
    <row r="718" customFormat="false" ht="15" hidden="false" customHeight="false" outlineLevel="0" collapsed="false">
      <c r="N718" s="34" t="str">
        <f aca="false">IF(D718="","",DATE(YEAR(D718),MONTH(D718),1))</f>
        <v/>
      </c>
      <c r="O718" s="35" t="str">
        <f aca="false">IF(A718="","",IF(ISNUMBER(I718),I718,0))</f>
        <v/>
      </c>
      <c r="P718" s="35" t="str">
        <f aca="false">IF(A718="","",F718+O718+K718)</f>
        <v/>
      </c>
      <c r="Q718" s="36" t="str">
        <f aca="false">IF(A718="","",IF(P718-L718=M718,"OK","Divergente"))</f>
        <v/>
      </c>
    </row>
    <row r="719" customFormat="false" ht="15" hidden="false" customHeight="false" outlineLevel="0" collapsed="false">
      <c r="N719" s="34" t="str">
        <f aca="false">IF(D719="","",DATE(YEAR(D719),MONTH(D719),1))</f>
        <v/>
      </c>
      <c r="O719" s="35" t="str">
        <f aca="false">IF(A719="","",IF(ISNUMBER(I719),I719,0))</f>
        <v/>
      </c>
      <c r="P719" s="35" t="str">
        <f aca="false">IF(A719="","",F719+O719+K719)</f>
        <v/>
      </c>
      <c r="Q719" s="36" t="str">
        <f aca="false">IF(A719="","",IF(P719-L719=M719,"OK","Divergente"))</f>
        <v/>
      </c>
    </row>
    <row r="720" customFormat="false" ht="15" hidden="false" customHeight="false" outlineLevel="0" collapsed="false">
      <c r="N720" s="34" t="str">
        <f aca="false">IF(D720="","",DATE(YEAR(D720),MONTH(D720),1))</f>
        <v/>
      </c>
      <c r="O720" s="35" t="str">
        <f aca="false">IF(A720="","",IF(ISNUMBER(I720),I720,0))</f>
        <v/>
      </c>
      <c r="P720" s="35" t="str">
        <f aca="false">IF(A720="","",F720+O720+K720)</f>
        <v/>
      </c>
      <c r="Q720" s="36" t="str">
        <f aca="false">IF(A720="","",IF(P720-L720=M720,"OK","Divergente"))</f>
        <v/>
      </c>
    </row>
    <row r="721" customFormat="false" ht="15" hidden="false" customHeight="false" outlineLevel="0" collapsed="false">
      <c r="N721" s="34" t="str">
        <f aca="false">IF(D721="","",DATE(YEAR(D721),MONTH(D721),1))</f>
        <v/>
      </c>
      <c r="O721" s="35" t="str">
        <f aca="false">IF(A721="","",IF(ISNUMBER(I721),I721,0))</f>
        <v/>
      </c>
      <c r="P721" s="35" t="str">
        <f aca="false">IF(A721="","",F721+O721+K721)</f>
        <v/>
      </c>
      <c r="Q721" s="36" t="str">
        <f aca="false">IF(A721="","",IF(P721-L721=M721,"OK","Divergente"))</f>
        <v/>
      </c>
    </row>
    <row r="722" customFormat="false" ht="15" hidden="false" customHeight="false" outlineLevel="0" collapsed="false">
      <c r="N722" s="34" t="str">
        <f aca="false">IF(D722="","",DATE(YEAR(D722),MONTH(D722),1))</f>
        <v/>
      </c>
      <c r="O722" s="35" t="str">
        <f aca="false">IF(A722="","",IF(ISNUMBER(I722),I722,0))</f>
        <v/>
      </c>
      <c r="P722" s="35" t="str">
        <f aca="false">IF(A722="","",F722+O722+K722)</f>
        <v/>
      </c>
      <c r="Q722" s="36" t="str">
        <f aca="false">IF(A722="","",IF(P722-L722=M722,"OK","Divergente"))</f>
        <v/>
      </c>
    </row>
    <row r="723" customFormat="false" ht="15" hidden="false" customHeight="false" outlineLevel="0" collapsed="false">
      <c r="N723" s="34" t="str">
        <f aca="false">IF(D723="","",DATE(YEAR(D723),MONTH(D723),1))</f>
        <v/>
      </c>
      <c r="O723" s="35" t="str">
        <f aca="false">IF(A723="","",IF(ISNUMBER(I723),I723,0))</f>
        <v/>
      </c>
      <c r="P723" s="35" t="str">
        <f aca="false">IF(A723="","",F723+O723+K723)</f>
        <v/>
      </c>
      <c r="Q723" s="36" t="str">
        <f aca="false">IF(A723="","",IF(P723-L723=M723,"OK","Divergente"))</f>
        <v/>
      </c>
    </row>
    <row r="724" customFormat="false" ht="15" hidden="false" customHeight="false" outlineLevel="0" collapsed="false">
      <c r="N724" s="34" t="str">
        <f aca="false">IF(D724="","",DATE(YEAR(D724),MONTH(D724),1))</f>
        <v/>
      </c>
      <c r="O724" s="35" t="str">
        <f aca="false">IF(A724="","",IF(ISNUMBER(I724),I724,0))</f>
        <v/>
      </c>
      <c r="P724" s="35" t="str">
        <f aca="false">IF(A724="","",F724+O724+K724)</f>
        <v/>
      </c>
      <c r="Q724" s="36" t="str">
        <f aca="false">IF(A724="","",IF(P724-L724=M724,"OK","Divergente"))</f>
        <v/>
      </c>
    </row>
    <row r="725" customFormat="false" ht="15" hidden="false" customHeight="false" outlineLevel="0" collapsed="false">
      <c r="N725" s="34" t="str">
        <f aca="false">IF(D725="","",DATE(YEAR(D725),MONTH(D725),1))</f>
        <v/>
      </c>
      <c r="O725" s="35" t="str">
        <f aca="false">IF(A725="","",IF(ISNUMBER(I725),I725,0))</f>
        <v/>
      </c>
      <c r="P725" s="35" t="str">
        <f aca="false">IF(A725="","",F725+O725+K725)</f>
        <v/>
      </c>
      <c r="Q725" s="36" t="str">
        <f aca="false">IF(A725="","",IF(P725-L725=M725,"OK","Divergente"))</f>
        <v/>
      </c>
    </row>
    <row r="726" customFormat="false" ht="15" hidden="false" customHeight="false" outlineLevel="0" collapsed="false">
      <c r="N726" s="34" t="str">
        <f aca="false">IF(D726="","",DATE(YEAR(D726),MONTH(D726),1))</f>
        <v/>
      </c>
      <c r="O726" s="35" t="str">
        <f aca="false">IF(A726="","",IF(ISNUMBER(I726),I726,0))</f>
        <v/>
      </c>
      <c r="P726" s="35" t="str">
        <f aca="false">IF(A726="","",F726+O726+K726)</f>
        <v/>
      </c>
      <c r="Q726" s="36" t="str">
        <f aca="false">IF(A726="","",IF(P726-L726=M726,"OK","Divergente"))</f>
        <v/>
      </c>
    </row>
    <row r="727" customFormat="false" ht="15" hidden="false" customHeight="false" outlineLevel="0" collapsed="false">
      <c r="N727" s="34" t="str">
        <f aca="false">IF(D727="","",DATE(YEAR(D727),MONTH(D727),1))</f>
        <v/>
      </c>
      <c r="O727" s="35" t="str">
        <f aca="false">IF(A727="","",IF(ISNUMBER(I727),I727,0))</f>
        <v/>
      </c>
      <c r="P727" s="35" t="str">
        <f aca="false">IF(A727="","",F727+O727+K727)</f>
        <v/>
      </c>
      <c r="Q727" s="36" t="str">
        <f aca="false">IF(A727="","",IF(P727-L727=M727,"OK","Divergente"))</f>
        <v/>
      </c>
    </row>
    <row r="728" customFormat="false" ht="15" hidden="false" customHeight="false" outlineLevel="0" collapsed="false">
      <c r="N728" s="34" t="str">
        <f aca="false">IF(D728="","",DATE(YEAR(D728),MONTH(D728),1))</f>
        <v/>
      </c>
      <c r="O728" s="35" t="str">
        <f aca="false">IF(A728="","",IF(ISNUMBER(I728),I728,0))</f>
        <v/>
      </c>
      <c r="P728" s="35" t="str">
        <f aca="false">IF(A728="","",F728+O728+K728)</f>
        <v/>
      </c>
      <c r="Q728" s="36" t="str">
        <f aca="false">IF(A728="","",IF(P728-L728=M728,"OK","Divergente"))</f>
        <v/>
      </c>
    </row>
    <row r="729" customFormat="false" ht="15" hidden="false" customHeight="false" outlineLevel="0" collapsed="false">
      <c r="N729" s="34" t="str">
        <f aca="false">IF(D729="","",DATE(YEAR(D729),MONTH(D729),1))</f>
        <v/>
      </c>
      <c r="O729" s="35" t="str">
        <f aca="false">IF(A729="","",IF(ISNUMBER(I729),I729,0))</f>
        <v/>
      </c>
      <c r="P729" s="35" t="str">
        <f aca="false">IF(A729="","",F729+O729+K729)</f>
        <v/>
      </c>
      <c r="Q729" s="36" t="str">
        <f aca="false">IF(A729="","",IF(P729-L729=M729,"OK","Divergente"))</f>
        <v/>
      </c>
    </row>
    <row r="730" customFormat="false" ht="15" hidden="false" customHeight="false" outlineLevel="0" collapsed="false">
      <c r="N730" s="34" t="str">
        <f aca="false">IF(D730="","",DATE(YEAR(D730),MONTH(D730),1))</f>
        <v/>
      </c>
      <c r="O730" s="35" t="str">
        <f aca="false">IF(A730="","",IF(ISNUMBER(I730),I730,0))</f>
        <v/>
      </c>
      <c r="P730" s="35" t="str">
        <f aca="false">IF(A730="","",F730+O730+K730)</f>
        <v/>
      </c>
      <c r="Q730" s="36" t="str">
        <f aca="false">IF(A730="","",IF(P730-L730=M730,"OK","Divergente"))</f>
        <v/>
      </c>
    </row>
    <row r="731" customFormat="false" ht="15" hidden="false" customHeight="false" outlineLevel="0" collapsed="false">
      <c r="N731" s="34" t="str">
        <f aca="false">IF(D731="","",DATE(YEAR(D731),MONTH(D731),1))</f>
        <v/>
      </c>
      <c r="O731" s="35" t="str">
        <f aca="false">IF(A731="","",IF(ISNUMBER(I731),I731,0))</f>
        <v/>
      </c>
      <c r="P731" s="35" t="str">
        <f aca="false">IF(A731="","",F731+O731+K731)</f>
        <v/>
      </c>
      <c r="Q731" s="36" t="str">
        <f aca="false">IF(A731="","",IF(P731-L731=M731,"OK","Divergente"))</f>
        <v/>
      </c>
    </row>
    <row r="732" customFormat="false" ht="15" hidden="false" customHeight="false" outlineLevel="0" collapsed="false">
      <c r="N732" s="34" t="str">
        <f aca="false">IF(D732="","",DATE(YEAR(D732),MONTH(D732),1))</f>
        <v/>
      </c>
      <c r="O732" s="35" t="str">
        <f aca="false">IF(A732="","",IF(ISNUMBER(I732),I732,0))</f>
        <v/>
      </c>
      <c r="P732" s="35" t="str">
        <f aca="false">IF(A732="","",F732+O732+K732)</f>
        <v/>
      </c>
      <c r="Q732" s="36" t="str">
        <f aca="false">IF(A732="","",IF(P732-L732=M732,"OK","Divergente"))</f>
        <v/>
      </c>
    </row>
    <row r="733" customFormat="false" ht="15" hidden="false" customHeight="false" outlineLevel="0" collapsed="false">
      <c r="N733" s="34" t="str">
        <f aca="false">IF(D733="","",DATE(YEAR(D733),MONTH(D733),1))</f>
        <v/>
      </c>
      <c r="O733" s="35" t="str">
        <f aca="false">IF(A733="","",IF(ISNUMBER(I733),I733,0))</f>
        <v/>
      </c>
      <c r="P733" s="35" t="str">
        <f aca="false">IF(A733="","",F733+O733+K733)</f>
        <v/>
      </c>
      <c r="Q733" s="36" t="str">
        <f aca="false">IF(A733="","",IF(P733-L733=M733,"OK","Divergente"))</f>
        <v/>
      </c>
    </row>
    <row r="734" customFormat="false" ht="15" hidden="false" customHeight="false" outlineLevel="0" collapsed="false">
      <c r="N734" s="34" t="str">
        <f aca="false">IF(D734="","",DATE(YEAR(D734),MONTH(D734),1))</f>
        <v/>
      </c>
      <c r="O734" s="35" t="str">
        <f aca="false">IF(A734="","",IF(ISNUMBER(I734),I734,0))</f>
        <v/>
      </c>
      <c r="P734" s="35" t="str">
        <f aca="false">IF(A734="","",F734+O734+K734)</f>
        <v/>
      </c>
      <c r="Q734" s="36" t="str">
        <f aca="false">IF(A734="","",IF(P734-L734=M734,"OK","Divergente"))</f>
        <v/>
      </c>
    </row>
    <row r="735" customFormat="false" ht="15" hidden="false" customHeight="false" outlineLevel="0" collapsed="false">
      <c r="N735" s="34" t="str">
        <f aca="false">IF(D735="","",DATE(YEAR(D735),MONTH(D735),1))</f>
        <v/>
      </c>
      <c r="O735" s="35" t="str">
        <f aca="false">IF(A735="","",IF(ISNUMBER(I735),I735,0))</f>
        <v/>
      </c>
      <c r="P735" s="35" t="str">
        <f aca="false">IF(A735="","",F735+O735+K735)</f>
        <v/>
      </c>
      <c r="Q735" s="36" t="str">
        <f aca="false">IF(A735="","",IF(P735-L735=M735,"OK","Divergente"))</f>
        <v/>
      </c>
    </row>
    <row r="736" customFormat="false" ht="15" hidden="false" customHeight="false" outlineLevel="0" collapsed="false">
      <c r="N736" s="34" t="str">
        <f aca="false">IF(D736="","",DATE(YEAR(D736),MONTH(D736),1))</f>
        <v/>
      </c>
      <c r="O736" s="35" t="str">
        <f aca="false">IF(A736="","",IF(ISNUMBER(I736),I736,0))</f>
        <v/>
      </c>
      <c r="P736" s="35" t="str">
        <f aca="false">IF(A736="","",F736+O736+K736)</f>
        <v/>
      </c>
      <c r="Q736" s="36" t="str">
        <f aca="false">IF(A736="","",IF(P736-L736=M736,"OK","Divergente"))</f>
        <v/>
      </c>
    </row>
    <row r="737" customFormat="false" ht="15" hidden="false" customHeight="false" outlineLevel="0" collapsed="false">
      <c r="N737" s="34" t="str">
        <f aca="false">IF(D737="","",DATE(YEAR(D737),MONTH(D737),1))</f>
        <v/>
      </c>
      <c r="O737" s="35" t="str">
        <f aca="false">IF(A737="","",IF(ISNUMBER(I737),I737,0))</f>
        <v/>
      </c>
      <c r="P737" s="35" t="str">
        <f aca="false">IF(A737="","",F737+O737+K737)</f>
        <v/>
      </c>
      <c r="Q737" s="36" t="str">
        <f aca="false">IF(A737="","",IF(P737-L737=M737,"OK","Divergente"))</f>
        <v/>
      </c>
    </row>
    <row r="738" customFormat="false" ht="15" hidden="false" customHeight="false" outlineLevel="0" collapsed="false">
      <c r="N738" s="34" t="str">
        <f aca="false">IF(D738="","",DATE(YEAR(D738),MONTH(D738),1))</f>
        <v/>
      </c>
      <c r="O738" s="35" t="str">
        <f aca="false">IF(A738="","",IF(ISNUMBER(I738),I738,0))</f>
        <v/>
      </c>
      <c r="P738" s="35" t="str">
        <f aca="false">IF(A738="","",F738+O738+K738)</f>
        <v/>
      </c>
      <c r="Q738" s="36" t="str">
        <f aca="false">IF(A738="","",IF(P738-L738=M738,"OK","Divergente"))</f>
        <v/>
      </c>
    </row>
    <row r="739" customFormat="false" ht="15" hidden="false" customHeight="false" outlineLevel="0" collapsed="false">
      <c r="N739" s="34" t="str">
        <f aca="false">IF(D739="","",DATE(YEAR(D739),MONTH(D739),1))</f>
        <v/>
      </c>
      <c r="O739" s="35" t="str">
        <f aca="false">IF(A739="","",IF(ISNUMBER(I739),I739,0))</f>
        <v/>
      </c>
      <c r="P739" s="35" t="str">
        <f aca="false">IF(A739="","",F739+O739+K739)</f>
        <v/>
      </c>
      <c r="Q739" s="36" t="str">
        <f aca="false">IF(A739="","",IF(P739-L739=M739,"OK","Divergente"))</f>
        <v/>
      </c>
    </row>
    <row r="740" customFormat="false" ht="15" hidden="false" customHeight="false" outlineLevel="0" collapsed="false">
      <c r="N740" s="34" t="str">
        <f aca="false">IF(D740="","",DATE(YEAR(D740),MONTH(D740),1))</f>
        <v/>
      </c>
      <c r="O740" s="35" t="str">
        <f aca="false">IF(A740="","",IF(ISNUMBER(I740),I740,0))</f>
        <v/>
      </c>
      <c r="P740" s="35" t="str">
        <f aca="false">IF(A740="","",F740+O740+K740)</f>
        <v/>
      </c>
      <c r="Q740" s="36" t="str">
        <f aca="false">IF(A740="","",IF(P740-L740=M740,"OK","Divergente"))</f>
        <v/>
      </c>
    </row>
    <row r="741" customFormat="false" ht="15" hidden="false" customHeight="false" outlineLevel="0" collapsed="false">
      <c r="N741" s="34" t="str">
        <f aca="false">IF(D741="","",DATE(YEAR(D741),MONTH(D741),1))</f>
        <v/>
      </c>
      <c r="O741" s="35" t="str">
        <f aca="false">IF(A741="","",IF(ISNUMBER(I741),I741,0))</f>
        <v/>
      </c>
      <c r="P741" s="35" t="str">
        <f aca="false">IF(A741="","",F741+O741+K741)</f>
        <v/>
      </c>
      <c r="Q741" s="36" t="str">
        <f aca="false">IF(A741="","",IF(P741-L741=M741,"OK","Divergente"))</f>
        <v/>
      </c>
    </row>
    <row r="742" customFormat="false" ht="15" hidden="false" customHeight="false" outlineLevel="0" collapsed="false">
      <c r="N742" s="34" t="str">
        <f aca="false">IF(D742="","",DATE(YEAR(D742),MONTH(D742),1))</f>
        <v/>
      </c>
      <c r="O742" s="35" t="str">
        <f aca="false">IF(A742="","",IF(ISNUMBER(I742),I742,0))</f>
        <v/>
      </c>
      <c r="P742" s="35" t="str">
        <f aca="false">IF(A742="","",F742+O742+K742)</f>
        <v/>
      </c>
      <c r="Q742" s="36" t="str">
        <f aca="false">IF(A742="","",IF(P742-L742=M742,"OK","Divergente"))</f>
        <v/>
      </c>
    </row>
    <row r="743" customFormat="false" ht="15" hidden="false" customHeight="false" outlineLevel="0" collapsed="false">
      <c r="N743" s="34" t="str">
        <f aca="false">IF(D743="","",DATE(YEAR(D743),MONTH(D743),1))</f>
        <v/>
      </c>
      <c r="O743" s="35" t="str">
        <f aca="false">IF(A743="","",IF(ISNUMBER(I743),I743,0))</f>
        <v/>
      </c>
      <c r="P743" s="35" t="str">
        <f aca="false">IF(A743="","",F743+O743+K743)</f>
        <v/>
      </c>
      <c r="Q743" s="36" t="str">
        <f aca="false">IF(A743="","",IF(P743-L743=M743,"OK","Divergente"))</f>
        <v/>
      </c>
    </row>
    <row r="744" customFormat="false" ht="15" hidden="false" customHeight="false" outlineLevel="0" collapsed="false">
      <c r="N744" s="34" t="str">
        <f aca="false">IF(D744="","",DATE(YEAR(D744),MONTH(D744),1))</f>
        <v/>
      </c>
      <c r="O744" s="35" t="str">
        <f aca="false">IF(A744="","",IF(ISNUMBER(I744),I744,0))</f>
        <v/>
      </c>
      <c r="P744" s="35" t="str">
        <f aca="false">IF(A744="","",F744+O744+K744)</f>
        <v/>
      </c>
      <c r="Q744" s="36" t="str">
        <f aca="false">IF(A744="","",IF(P744-L744=M744,"OK","Divergente"))</f>
        <v/>
      </c>
    </row>
    <row r="745" customFormat="false" ht="15" hidden="false" customHeight="false" outlineLevel="0" collapsed="false">
      <c r="N745" s="34" t="str">
        <f aca="false">IF(D745="","",DATE(YEAR(D745),MONTH(D745),1))</f>
        <v/>
      </c>
      <c r="O745" s="35" t="str">
        <f aca="false">IF(A745="","",IF(ISNUMBER(I745),I745,0))</f>
        <v/>
      </c>
      <c r="P745" s="35" t="str">
        <f aca="false">IF(A745="","",F745+O745+K745)</f>
        <v/>
      </c>
      <c r="Q745" s="36" t="str">
        <f aca="false">IF(A745="","",IF(P745-L745=M745,"OK","Divergente"))</f>
        <v/>
      </c>
    </row>
    <row r="746" customFormat="false" ht="15" hidden="false" customHeight="false" outlineLevel="0" collapsed="false">
      <c r="N746" s="34" t="str">
        <f aca="false">IF(D746="","",DATE(YEAR(D746),MONTH(D746),1))</f>
        <v/>
      </c>
      <c r="O746" s="35" t="str">
        <f aca="false">IF(A746="","",IF(ISNUMBER(I746),I746,0))</f>
        <v/>
      </c>
      <c r="P746" s="35" t="str">
        <f aca="false">IF(A746="","",F746+O746+K746)</f>
        <v/>
      </c>
      <c r="Q746" s="36" t="str">
        <f aca="false">IF(A746="","",IF(P746-L746=M746,"OK","Divergente"))</f>
        <v/>
      </c>
    </row>
    <row r="747" customFormat="false" ht="15" hidden="false" customHeight="false" outlineLevel="0" collapsed="false">
      <c r="N747" s="34" t="str">
        <f aca="false">IF(D747="","",DATE(YEAR(D747),MONTH(D747),1))</f>
        <v/>
      </c>
      <c r="O747" s="35" t="str">
        <f aca="false">IF(A747="","",IF(ISNUMBER(I747),I747,0))</f>
        <v/>
      </c>
      <c r="P747" s="35" t="str">
        <f aca="false">IF(A747="","",F747+O747+K747)</f>
        <v/>
      </c>
      <c r="Q747" s="36" t="str">
        <f aca="false">IF(A747="","",IF(P747-L747=M747,"OK","Divergente"))</f>
        <v/>
      </c>
    </row>
    <row r="748" customFormat="false" ht="15" hidden="false" customHeight="false" outlineLevel="0" collapsed="false">
      <c r="N748" s="34" t="str">
        <f aca="false">IF(D748="","",DATE(YEAR(D748),MONTH(D748),1))</f>
        <v/>
      </c>
      <c r="O748" s="35" t="str">
        <f aca="false">IF(A748="","",IF(ISNUMBER(I748),I748,0))</f>
        <v/>
      </c>
      <c r="P748" s="35" t="str">
        <f aca="false">IF(A748="","",F748+O748+K748)</f>
        <v/>
      </c>
      <c r="Q748" s="36" t="str">
        <f aca="false">IF(A748="","",IF(P748-L748=M748,"OK","Divergente"))</f>
        <v/>
      </c>
    </row>
    <row r="749" customFormat="false" ht="15" hidden="false" customHeight="false" outlineLevel="0" collapsed="false">
      <c r="N749" s="34" t="str">
        <f aca="false">IF(D749="","",DATE(YEAR(D749),MONTH(D749),1))</f>
        <v/>
      </c>
      <c r="O749" s="35" t="str">
        <f aca="false">IF(A749="","",IF(ISNUMBER(I749),I749,0))</f>
        <v/>
      </c>
      <c r="P749" s="35" t="str">
        <f aca="false">IF(A749="","",F749+O749+K749)</f>
        <v/>
      </c>
      <c r="Q749" s="36" t="str">
        <f aca="false">IF(A749="","",IF(P749-L749=M749,"OK","Divergente"))</f>
        <v/>
      </c>
    </row>
    <row r="750" customFormat="false" ht="15" hidden="false" customHeight="false" outlineLevel="0" collapsed="false">
      <c r="N750" s="34" t="str">
        <f aca="false">IF(D750="","",DATE(YEAR(D750),MONTH(D750),1))</f>
        <v/>
      </c>
      <c r="O750" s="35" t="str">
        <f aca="false">IF(A750="","",IF(ISNUMBER(I750),I750,0))</f>
        <v/>
      </c>
      <c r="P750" s="35" t="str">
        <f aca="false">IF(A750="","",F750+O750+K750)</f>
        <v/>
      </c>
      <c r="Q750" s="36" t="str">
        <f aca="false">IF(A750="","",IF(P750-L750=M750,"OK","Divergente"))</f>
        <v/>
      </c>
    </row>
    <row r="751" customFormat="false" ht="15" hidden="false" customHeight="false" outlineLevel="0" collapsed="false">
      <c r="N751" s="34" t="str">
        <f aca="false">IF(D751="","",DATE(YEAR(D751),MONTH(D751),1))</f>
        <v/>
      </c>
      <c r="O751" s="35" t="str">
        <f aca="false">IF(A751="","",IF(ISNUMBER(I751),I751,0))</f>
        <v/>
      </c>
      <c r="P751" s="35" t="str">
        <f aca="false">IF(A751="","",F751+O751+K751)</f>
        <v/>
      </c>
      <c r="Q751" s="36" t="str">
        <f aca="false">IF(A751="","",IF(P751-L751=M751,"OK","Divergente"))</f>
        <v/>
      </c>
    </row>
    <row r="752" customFormat="false" ht="15" hidden="false" customHeight="false" outlineLevel="0" collapsed="false">
      <c r="N752" s="34" t="str">
        <f aca="false">IF(D752="","",DATE(YEAR(D752),MONTH(D752),1))</f>
        <v/>
      </c>
      <c r="O752" s="35" t="str">
        <f aca="false">IF(A752="","",IF(ISNUMBER(I752),I752,0))</f>
        <v/>
      </c>
      <c r="P752" s="35" t="str">
        <f aca="false">IF(A752="","",F752+O752+K752)</f>
        <v/>
      </c>
      <c r="Q752" s="36" t="str">
        <f aca="false">IF(A752="","",IF(P752-L752=M752,"OK","Divergente"))</f>
        <v/>
      </c>
    </row>
    <row r="753" customFormat="false" ht="15" hidden="false" customHeight="false" outlineLevel="0" collapsed="false">
      <c r="N753" s="34" t="str">
        <f aca="false">IF(D753="","",DATE(YEAR(D753),MONTH(D753),1))</f>
        <v/>
      </c>
      <c r="O753" s="35" t="str">
        <f aca="false">IF(A753="","",IF(ISNUMBER(I753),I753,0))</f>
        <v/>
      </c>
      <c r="P753" s="35" t="str">
        <f aca="false">IF(A753="","",F753+O753+K753)</f>
        <v/>
      </c>
      <c r="Q753" s="36" t="str">
        <f aca="false">IF(A753="","",IF(P753-L753=M753,"OK","Divergente"))</f>
        <v/>
      </c>
    </row>
    <row r="754" customFormat="false" ht="15" hidden="false" customHeight="false" outlineLevel="0" collapsed="false">
      <c r="N754" s="34" t="str">
        <f aca="false">IF(D754="","",DATE(YEAR(D754),MONTH(D754),1))</f>
        <v/>
      </c>
      <c r="O754" s="35" t="str">
        <f aca="false">IF(A754="","",IF(ISNUMBER(I754),I754,0))</f>
        <v/>
      </c>
      <c r="P754" s="35" t="str">
        <f aca="false">IF(A754="","",F754+O754+K754)</f>
        <v/>
      </c>
      <c r="Q754" s="36" t="str">
        <f aca="false">IF(A754="","",IF(P754-L754=M754,"OK","Divergente"))</f>
        <v/>
      </c>
    </row>
    <row r="755" customFormat="false" ht="15" hidden="false" customHeight="false" outlineLevel="0" collapsed="false">
      <c r="N755" s="34" t="str">
        <f aca="false">IF(D755="","",DATE(YEAR(D755),MONTH(D755),1))</f>
        <v/>
      </c>
      <c r="O755" s="35" t="str">
        <f aca="false">IF(A755="","",IF(ISNUMBER(I755),I755,0))</f>
        <v/>
      </c>
      <c r="P755" s="35" t="str">
        <f aca="false">IF(A755="","",F755+O755+K755)</f>
        <v/>
      </c>
      <c r="Q755" s="36" t="str">
        <f aca="false">IF(A755="","",IF(P755-L755=M755,"OK","Divergente"))</f>
        <v/>
      </c>
    </row>
    <row r="756" customFormat="false" ht="15" hidden="false" customHeight="false" outlineLevel="0" collapsed="false">
      <c r="N756" s="34" t="str">
        <f aca="false">IF(D756="","",DATE(YEAR(D756),MONTH(D756),1))</f>
        <v/>
      </c>
      <c r="O756" s="35" t="str">
        <f aca="false">IF(A756="","",IF(ISNUMBER(I756),I756,0))</f>
        <v/>
      </c>
      <c r="P756" s="35" t="str">
        <f aca="false">IF(A756="","",F756+O756+K756)</f>
        <v/>
      </c>
      <c r="Q756" s="36" t="str">
        <f aca="false">IF(A756="","",IF(P756-L756=M756,"OK","Divergente"))</f>
        <v/>
      </c>
    </row>
    <row r="757" customFormat="false" ht="15" hidden="false" customHeight="false" outlineLevel="0" collapsed="false">
      <c r="N757" s="34" t="str">
        <f aca="false">IF(D757="","",DATE(YEAR(D757),MONTH(D757),1))</f>
        <v/>
      </c>
      <c r="O757" s="35" t="str">
        <f aca="false">IF(A757="","",IF(ISNUMBER(I757),I757,0))</f>
        <v/>
      </c>
      <c r="P757" s="35" t="str">
        <f aca="false">IF(A757="","",F757+O757+K757)</f>
        <v/>
      </c>
      <c r="Q757" s="36" t="str">
        <f aca="false">IF(A757="","",IF(P757-L757=M757,"OK","Divergente"))</f>
        <v/>
      </c>
    </row>
    <row r="758" customFormat="false" ht="15" hidden="false" customHeight="false" outlineLevel="0" collapsed="false">
      <c r="N758" s="34" t="str">
        <f aca="false">IF(D758="","",DATE(YEAR(D758),MONTH(D758),1))</f>
        <v/>
      </c>
      <c r="O758" s="35" t="str">
        <f aca="false">IF(A758="","",IF(ISNUMBER(I758),I758,0))</f>
        <v/>
      </c>
      <c r="P758" s="35" t="str">
        <f aca="false">IF(A758="","",F758+O758+K758)</f>
        <v/>
      </c>
      <c r="Q758" s="36" t="str">
        <f aca="false">IF(A758="","",IF(P758-L758=M758,"OK","Divergente"))</f>
        <v/>
      </c>
    </row>
    <row r="759" customFormat="false" ht="15" hidden="false" customHeight="false" outlineLevel="0" collapsed="false">
      <c r="N759" s="34" t="str">
        <f aca="false">IF(D759="","",DATE(YEAR(D759),MONTH(D759),1))</f>
        <v/>
      </c>
      <c r="O759" s="35" t="str">
        <f aca="false">IF(A759="","",IF(ISNUMBER(I759),I759,0))</f>
        <v/>
      </c>
      <c r="P759" s="35" t="str">
        <f aca="false">IF(A759="","",F759+O759+K759)</f>
        <v/>
      </c>
      <c r="Q759" s="36" t="str">
        <f aca="false">IF(A759="","",IF(P759-L759=M759,"OK","Divergente"))</f>
        <v/>
      </c>
    </row>
    <row r="760" customFormat="false" ht="15" hidden="false" customHeight="false" outlineLevel="0" collapsed="false">
      <c r="N760" s="34" t="str">
        <f aca="false">IF(D760="","",DATE(YEAR(D760),MONTH(D760),1))</f>
        <v/>
      </c>
      <c r="O760" s="35" t="str">
        <f aca="false">IF(A760="","",IF(ISNUMBER(I760),I760,0))</f>
        <v/>
      </c>
      <c r="P760" s="35" t="str">
        <f aca="false">IF(A760="","",F760+O760+K760)</f>
        <v/>
      </c>
      <c r="Q760" s="36" t="str">
        <f aca="false">IF(A760="","",IF(P760-L760=M760,"OK","Divergente"))</f>
        <v/>
      </c>
    </row>
    <row r="761" customFormat="false" ht="15" hidden="false" customHeight="false" outlineLevel="0" collapsed="false">
      <c r="N761" s="34" t="str">
        <f aca="false">IF(D761="","",DATE(YEAR(D761),MONTH(D761),1))</f>
        <v/>
      </c>
      <c r="O761" s="35" t="str">
        <f aca="false">IF(A761="","",IF(ISNUMBER(I761),I761,0))</f>
        <v/>
      </c>
      <c r="P761" s="35" t="str">
        <f aca="false">IF(A761="","",F761+O761+K761)</f>
        <v/>
      </c>
      <c r="Q761" s="36" t="str">
        <f aca="false">IF(A761="","",IF(P761-L761=M761,"OK","Divergente"))</f>
        <v/>
      </c>
    </row>
    <row r="762" customFormat="false" ht="15" hidden="false" customHeight="false" outlineLevel="0" collapsed="false">
      <c r="N762" s="34" t="str">
        <f aca="false">IF(D762="","",DATE(YEAR(D762),MONTH(D762),1))</f>
        <v/>
      </c>
      <c r="O762" s="35" t="str">
        <f aca="false">IF(A762="","",IF(ISNUMBER(I762),I762,0))</f>
        <v/>
      </c>
      <c r="P762" s="35" t="str">
        <f aca="false">IF(A762="","",F762+O762+K762)</f>
        <v/>
      </c>
      <c r="Q762" s="36" t="str">
        <f aca="false">IF(A762="","",IF(P762-L762=M762,"OK","Divergente"))</f>
        <v/>
      </c>
    </row>
    <row r="763" customFormat="false" ht="15" hidden="false" customHeight="false" outlineLevel="0" collapsed="false">
      <c r="N763" s="34" t="str">
        <f aca="false">IF(D763="","",DATE(YEAR(D763),MONTH(D763),1))</f>
        <v/>
      </c>
      <c r="O763" s="35" t="str">
        <f aca="false">IF(A763="","",IF(ISNUMBER(I763),I763,0))</f>
        <v/>
      </c>
      <c r="P763" s="35" t="str">
        <f aca="false">IF(A763="","",F763+O763+K763)</f>
        <v/>
      </c>
      <c r="Q763" s="36" t="str">
        <f aca="false">IF(A763="","",IF(P763-L763=M763,"OK","Divergente"))</f>
        <v/>
      </c>
    </row>
    <row r="764" customFormat="false" ht="15" hidden="false" customHeight="false" outlineLevel="0" collapsed="false">
      <c r="N764" s="34" t="str">
        <f aca="false">IF(D764="","",DATE(YEAR(D764),MONTH(D764),1))</f>
        <v/>
      </c>
      <c r="O764" s="35" t="str">
        <f aca="false">IF(A764="","",IF(ISNUMBER(I764),I764,0))</f>
        <v/>
      </c>
      <c r="P764" s="35" t="str">
        <f aca="false">IF(A764="","",F764+O764+K764)</f>
        <v/>
      </c>
      <c r="Q764" s="36" t="str">
        <f aca="false">IF(A764="","",IF(P764-L764=M764,"OK","Divergente"))</f>
        <v/>
      </c>
    </row>
    <row r="765" customFormat="false" ht="15" hidden="false" customHeight="false" outlineLevel="0" collapsed="false">
      <c r="N765" s="34" t="str">
        <f aca="false">IF(D765="","",DATE(YEAR(D765),MONTH(D765),1))</f>
        <v/>
      </c>
      <c r="O765" s="35" t="str">
        <f aca="false">IF(A765="","",IF(ISNUMBER(I765),I765,0))</f>
        <v/>
      </c>
      <c r="P765" s="35" t="str">
        <f aca="false">IF(A765="","",F765+O765+K765)</f>
        <v/>
      </c>
      <c r="Q765" s="36" t="str">
        <f aca="false">IF(A765="","",IF(P765-L765=M765,"OK","Divergente"))</f>
        <v/>
      </c>
    </row>
    <row r="766" customFormat="false" ht="15" hidden="false" customHeight="false" outlineLevel="0" collapsed="false">
      <c r="N766" s="34" t="str">
        <f aca="false">IF(D766="","",DATE(YEAR(D766),MONTH(D766),1))</f>
        <v/>
      </c>
      <c r="O766" s="35" t="str">
        <f aca="false">IF(A766="","",IF(ISNUMBER(I766),I766,0))</f>
        <v/>
      </c>
      <c r="P766" s="35" t="str">
        <f aca="false">IF(A766="","",F766+O766+K766)</f>
        <v/>
      </c>
      <c r="Q766" s="36" t="str">
        <f aca="false">IF(A766="","",IF(P766-L766=M766,"OK","Divergente"))</f>
        <v/>
      </c>
    </row>
    <row r="767" customFormat="false" ht="15" hidden="false" customHeight="false" outlineLevel="0" collapsed="false">
      <c r="N767" s="34" t="str">
        <f aca="false">IF(D767="","",DATE(YEAR(D767),MONTH(D767),1))</f>
        <v/>
      </c>
      <c r="O767" s="35" t="str">
        <f aca="false">IF(A767="","",IF(ISNUMBER(I767),I767,0))</f>
        <v/>
      </c>
      <c r="P767" s="35" t="str">
        <f aca="false">IF(A767="","",F767+O767+K767)</f>
        <v/>
      </c>
      <c r="Q767" s="36" t="str">
        <f aca="false">IF(A767="","",IF(P767-L767=M767,"OK","Divergente"))</f>
        <v/>
      </c>
    </row>
    <row r="768" customFormat="false" ht="15" hidden="false" customHeight="false" outlineLevel="0" collapsed="false">
      <c r="N768" s="34" t="str">
        <f aca="false">IF(D768="","",DATE(YEAR(D768),MONTH(D768),1))</f>
        <v/>
      </c>
      <c r="O768" s="35" t="str">
        <f aca="false">IF(A768="","",IF(ISNUMBER(I768),I768,0))</f>
        <v/>
      </c>
      <c r="P768" s="35" t="str">
        <f aca="false">IF(A768="","",F768+O768+K768)</f>
        <v/>
      </c>
      <c r="Q768" s="36" t="str">
        <f aca="false">IF(A768="","",IF(P768-L768=M768,"OK","Divergente"))</f>
        <v/>
      </c>
    </row>
    <row r="769" customFormat="false" ht="15" hidden="false" customHeight="false" outlineLevel="0" collapsed="false">
      <c r="N769" s="34" t="str">
        <f aca="false">IF(D769="","",DATE(YEAR(D769),MONTH(D769),1))</f>
        <v/>
      </c>
      <c r="O769" s="35" t="str">
        <f aca="false">IF(A769="","",IF(ISNUMBER(I769),I769,0))</f>
        <v/>
      </c>
      <c r="P769" s="35" t="str">
        <f aca="false">IF(A769="","",F769+O769+K769)</f>
        <v/>
      </c>
      <c r="Q769" s="36" t="str">
        <f aca="false">IF(A769="","",IF(P769-L769=M769,"OK","Divergente"))</f>
        <v/>
      </c>
    </row>
    <row r="770" customFormat="false" ht="15" hidden="false" customHeight="false" outlineLevel="0" collapsed="false">
      <c r="N770" s="34" t="str">
        <f aca="false">IF(D770="","",DATE(YEAR(D770),MONTH(D770),1))</f>
        <v/>
      </c>
      <c r="O770" s="35" t="str">
        <f aca="false">IF(A770="","",IF(ISNUMBER(I770),I770,0))</f>
        <v/>
      </c>
      <c r="P770" s="35" t="str">
        <f aca="false">IF(A770="","",F770+O770+K770)</f>
        <v/>
      </c>
      <c r="Q770" s="36" t="str">
        <f aca="false">IF(A770="","",IF(P770-L770=M770,"OK","Divergente"))</f>
        <v/>
      </c>
    </row>
    <row r="771" customFormat="false" ht="15" hidden="false" customHeight="false" outlineLevel="0" collapsed="false">
      <c r="N771" s="34" t="str">
        <f aca="false">IF(D771="","",DATE(YEAR(D771),MONTH(D771),1))</f>
        <v/>
      </c>
      <c r="O771" s="35" t="str">
        <f aca="false">IF(A771="","",IF(ISNUMBER(I771),I771,0))</f>
        <v/>
      </c>
      <c r="P771" s="35" t="str">
        <f aca="false">IF(A771="","",F771+O771+K771)</f>
        <v/>
      </c>
      <c r="Q771" s="36" t="str">
        <f aca="false">IF(A771="","",IF(P771-L771=M771,"OK","Divergente"))</f>
        <v/>
      </c>
    </row>
    <row r="772" customFormat="false" ht="15" hidden="false" customHeight="false" outlineLevel="0" collapsed="false">
      <c r="N772" s="34" t="str">
        <f aca="false">IF(D772="","",DATE(YEAR(D772),MONTH(D772),1))</f>
        <v/>
      </c>
      <c r="O772" s="35" t="str">
        <f aca="false">IF(A772="","",IF(ISNUMBER(I772),I772,0))</f>
        <v/>
      </c>
      <c r="P772" s="35" t="str">
        <f aca="false">IF(A772="","",F772+O772+K772)</f>
        <v/>
      </c>
      <c r="Q772" s="36" t="str">
        <f aca="false">IF(A772="","",IF(P772-L772=M772,"OK","Divergente"))</f>
        <v/>
      </c>
    </row>
    <row r="773" customFormat="false" ht="15" hidden="false" customHeight="false" outlineLevel="0" collapsed="false">
      <c r="N773" s="34" t="str">
        <f aca="false">IF(D773="","",DATE(YEAR(D773),MONTH(D773),1))</f>
        <v/>
      </c>
      <c r="O773" s="35" t="str">
        <f aca="false">IF(A773="","",IF(ISNUMBER(I773),I773,0))</f>
        <v/>
      </c>
      <c r="P773" s="35" t="str">
        <f aca="false">IF(A773="","",F773+O773+K773)</f>
        <v/>
      </c>
      <c r="Q773" s="36" t="str">
        <f aca="false">IF(A773="","",IF(P773-L773=M773,"OK","Divergente"))</f>
        <v/>
      </c>
    </row>
    <row r="774" customFormat="false" ht="15" hidden="false" customHeight="false" outlineLevel="0" collapsed="false">
      <c r="N774" s="34" t="str">
        <f aca="false">IF(D774="","",DATE(YEAR(D774),MONTH(D774),1))</f>
        <v/>
      </c>
      <c r="O774" s="35" t="str">
        <f aca="false">IF(A774="","",IF(ISNUMBER(I774),I774,0))</f>
        <v/>
      </c>
      <c r="P774" s="35" t="str">
        <f aca="false">IF(A774="","",F774+O774+K774)</f>
        <v/>
      </c>
      <c r="Q774" s="36" t="str">
        <f aca="false">IF(A774="","",IF(P774-L774=M774,"OK","Divergente"))</f>
        <v/>
      </c>
    </row>
    <row r="775" customFormat="false" ht="15" hidden="false" customHeight="false" outlineLevel="0" collapsed="false">
      <c r="N775" s="34" t="str">
        <f aca="false">IF(D775="","",DATE(YEAR(D775),MONTH(D775),1))</f>
        <v/>
      </c>
      <c r="O775" s="35" t="str">
        <f aca="false">IF(A775="","",IF(ISNUMBER(I775),I775,0))</f>
        <v/>
      </c>
      <c r="P775" s="35" t="str">
        <f aca="false">IF(A775="","",F775+O775+K775)</f>
        <v/>
      </c>
      <c r="Q775" s="36" t="str">
        <f aca="false">IF(A775="","",IF(P775-L775=M775,"OK","Divergente"))</f>
        <v/>
      </c>
    </row>
    <row r="776" customFormat="false" ht="15" hidden="false" customHeight="false" outlineLevel="0" collapsed="false">
      <c r="N776" s="34" t="str">
        <f aca="false">IF(D776="","",DATE(YEAR(D776),MONTH(D776),1))</f>
        <v/>
      </c>
      <c r="O776" s="35" t="str">
        <f aca="false">IF(A776="","",IF(ISNUMBER(I776),I776,0))</f>
        <v/>
      </c>
      <c r="P776" s="35" t="str">
        <f aca="false">IF(A776="","",F776+O776+K776)</f>
        <v/>
      </c>
      <c r="Q776" s="36" t="str">
        <f aca="false">IF(A776="","",IF(P776-L776=M776,"OK","Divergente"))</f>
        <v/>
      </c>
    </row>
    <row r="777" customFormat="false" ht="15" hidden="false" customHeight="false" outlineLevel="0" collapsed="false">
      <c r="N777" s="34" t="str">
        <f aca="false">IF(D777="","",DATE(YEAR(D777),MONTH(D777),1))</f>
        <v/>
      </c>
      <c r="O777" s="35" t="str">
        <f aca="false">IF(A777="","",IF(ISNUMBER(I777),I777,0))</f>
        <v/>
      </c>
      <c r="P777" s="35" t="str">
        <f aca="false">IF(A777="","",F777+O777+K777)</f>
        <v/>
      </c>
      <c r="Q777" s="36" t="str">
        <f aca="false">IF(A777="","",IF(P777-L777=M777,"OK","Divergente"))</f>
        <v/>
      </c>
    </row>
    <row r="778" customFormat="false" ht="15" hidden="false" customHeight="false" outlineLevel="0" collapsed="false">
      <c r="N778" s="34" t="str">
        <f aca="false">IF(D778="","",DATE(YEAR(D778),MONTH(D778),1))</f>
        <v/>
      </c>
      <c r="O778" s="35" t="str">
        <f aca="false">IF(A778="","",IF(ISNUMBER(I778),I778,0))</f>
        <v/>
      </c>
      <c r="P778" s="35" t="str">
        <f aca="false">IF(A778="","",F778+O778+K778)</f>
        <v/>
      </c>
      <c r="Q778" s="36" t="str">
        <f aca="false">IF(A778="","",IF(P778-L778=M778,"OK","Divergente"))</f>
        <v/>
      </c>
    </row>
    <row r="779" customFormat="false" ht="15" hidden="false" customHeight="false" outlineLevel="0" collapsed="false">
      <c r="N779" s="34" t="str">
        <f aca="false">IF(D779="","",DATE(YEAR(D779),MONTH(D779),1))</f>
        <v/>
      </c>
      <c r="O779" s="35" t="str">
        <f aca="false">IF(A779="","",IF(ISNUMBER(I779),I779,0))</f>
        <v/>
      </c>
      <c r="P779" s="35" t="str">
        <f aca="false">IF(A779="","",F779+O779+K779)</f>
        <v/>
      </c>
      <c r="Q779" s="36" t="str">
        <f aca="false">IF(A779="","",IF(P779-L779=M779,"OK","Divergente"))</f>
        <v/>
      </c>
    </row>
    <row r="780" customFormat="false" ht="15" hidden="false" customHeight="false" outlineLevel="0" collapsed="false">
      <c r="N780" s="34" t="str">
        <f aca="false">IF(D780="","",DATE(YEAR(D780),MONTH(D780),1))</f>
        <v/>
      </c>
      <c r="O780" s="35" t="str">
        <f aca="false">IF(A780="","",IF(ISNUMBER(I780),I780,0))</f>
        <v/>
      </c>
      <c r="P780" s="35" t="str">
        <f aca="false">IF(A780="","",F780+O780+K780)</f>
        <v/>
      </c>
      <c r="Q780" s="36" t="str">
        <f aca="false">IF(A780="","",IF(P780-L780=M780,"OK","Divergente"))</f>
        <v/>
      </c>
    </row>
    <row r="781" customFormat="false" ht="15" hidden="false" customHeight="false" outlineLevel="0" collapsed="false">
      <c r="N781" s="34" t="str">
        <f aca="false">IF(D781="","",DATE(YEAR(D781),MONTH(D781),1))</f>
        <v/>
      </c>
      <c r="O781" s="35" t="str">
        <f aca="false">IF(A781="","",IF(ISNUMBER(I781),I781,0))</f>
        <v/>
      </c>
      <c r="P781" s="35" t="str">
        <f aca="false">IF(A781="","",F781+O781+K781)</f>
        <v/>
      </c>
      <c r="Q781" s="36" t="str">
        <f aca="false">IF(A781="","",IF(P781-L781=M781,"OK","Divergente"))</f>
        <v/>
      </c>
    </row>
    <row r="782" customFormat="false" ht="15" hidden="false" customHeight="false" outlineLevel="0" collapsed="false">
      <c r="N782" s="34" t="str">
        <f aca="false">IF(D782="","",DATE(YEAR(D782),MONTH(D782),1))</f>
        <v/>
      </c>
      <c r="O782" s="35" t="str">
        <f aca="false">IF(A782="","",IF(ISNUMBER(I782),I782,0))</f>
        <v/>
      </c>
      <c r="P782" s="35" t="str">
        <f aca="false">IF(A782="","",F782+O782+K782)</f>
        <v/>
      </c>
      <c r="Q782" s="36" t="str">
        <f aca="false">IF(A782="","",IF(P782-L782=M782,"OK","Divergente"))</f>
        <v/>
      </c>
    </row>
    <row r="783" customFormat="false" ht="15" hidden="false" customHeight="false" outlineLevel="0" collapsed="false">
      <c r="N783" s="34" t="str">
        <f aca="false">IF(D783="","",DATE(YEAR(D783),MONTH(D783),1))</f>
        <v/>
      </c>
      <c r="O783" s="35" t="str">
        <f aca="false">IF(A783="","",IF(ISNUMBER(I783),I783,0))</f>
        <v/>
      </c>
      <c r="P783" s="35" t="str">
        <f aca="false">IF(A783="","",F783+O783+K783)</f>
        <v/>
      </c>
      <c r="Q783" s="36" t="str">
        <f aca="false">IF(A783="","",IF(P783-L783=M783,"OK","Divergente"))</f>
        <v/>
      </c>
    </row>
    <row r="784" customFormat="false" ht="15" hidden="false" customHeight="false" outlineLevel="0" collapsed="false">
      <c r="N784" s="34" t="str">
        <f aca="false">IF(D784="","",DATE(YEAR(D784),MONTH(D784),1))</f>
        <v/>
      </c>
      <c r="O784" s="35" t="str">
        <f aca="false">IF(A784="","",IF(ISNUMBER(I784),I784,0))</f>
        <v/>
      </c>
      <c r="P784" s="35" t="str">
        <f aca="false">IF(A784="","",F784+O784+K784)</f>
        <v/>
      </c>
      <c r="Q784" s="36" t="str">
        <f aca="false">IF(A784="","",IF(P784-L784=M784,"OK","Divergente"))</f>
        <v/>
      </c>
    </row>
    <row r="785" customFormat="false" ht="15" hidden="false" customHeight="false" outlineLevel="0" collapsed="false">
      <c r="N785" s="34" t="str">
        <f aca="false">IF(D785="","",DATE(YEAR(D785),MONTH(D785),1))</f>
        <v/>
      </c>
      <c r="O785" s="35" t="str">
        <f aca="false">IF(A785="","",IF(ISNUMBER(I785),I785,0))</f>
        <v/>
      </c>
      <c r="P785" s="35" t="str">
        <f aca="false">IF(A785="","",F785+O785+K785)</f>
        <v/>
      </c>
      <c r="Q785" s="36" t="str">
        <f aca="false">IF(A785="","",IF(P785-L785=M785,"OK","Divergente"))</f>
        <v/>
      </c>
    </row>
    <row r="786" customFormat="false" ht="15" hidden="false" customHeight="false" outlineLevel="0" collapsed="false">
      <c r="N786" s="34" t="str">
        <f aca="false">IF(D786="","",DATE(YEAR(D786),MONTH(D786),1))</f>
        <v/>
      </c>
      <c r="O786" s="35" t="str">
        <f aca="false">IF(A786="","",IF(ISNUMBER(I786),I786,0))</f>
        <v/>
      </c>
      <c r="P786" s="35" t="str">
        <f aca="false">IF(A786="","",F786+O786+K786)</f>
        <v/>
      </c>
      <c r="Q786" s="36" t="str">
        <f aca="false">IF(A786="","",IF(P786-L786=M786,"OK","Divergente"))</f>
        <v/>
      </c>
    </row>
    <row r="787" customFormat="false" ht="15" hidden="false" customHeight="false" outlineLevel="0" collapsed="false">
      <c r="N787" s="34" t="str">
        <f aca="false">IF(D787="","",DATE(YEAR(D787),MONTH(D787),1))</f>
        <v/>
      </c>
      <c r="O787" s="35" t="str">
        <f aca="false">IF(A787="","",IF(ISNUMBER(I787),I787,0))</f>
        <v/>
      </c>
      <c r="P787" s="35" t="str">
        <f aca="false">IF(A787="","",F787+O787+K787)</f>
        <v/>
      </c>
      <c r="Q787" s="36" t="str">
        <f aca="false">IF(A787="","",IF(P787-L787=M787,"OK","Divergente"))</f>
        <v/>
      </c>
    </row>
    <row r="788" customFormat="false" ht="15" hidden="false" customHeight="false" outlineLevel="0" collapsed="false">
      <c r="N788" s="34" t="str">
        <f aca="false">IF(D788="","",DATE(YEAR(D788),MONTH(D788),1))</f>
        <v/>
      </c>
      <c r="O788" s="35" t="str">
        <f aca="false">IF(A788="","",IF(ISNUMBER(I788),I788,0))</f>
        <v/>
      </c>
      <c r="P788" s="35" t="str">
        <f aca="false">IF(A788="","",F788+O788+K788)</f>
        <v/>
      </c>
      <c r="Q788" s="36" t="str">
        <f aca="false">IF(A788="","",IF(P788-L788=M788,"OK","Divergente"))</f>
        <v/>
      </c>
    </row>
    <row r="789" customFormat="false" ht="15" hidden="false" customHeight="false" outlineLevel="0" collapsed="false">
      <c r="N789" s="34" t="str">
        <f aca="false">IF(D789="","",DATE(YEAR(D789),MONTH(D789),1))</f>
        <v/>
      </c>
      <c r="O789" s="35" t="str">
        <f aca="false">IF(A789="","",IF(ISNUMBER(I789),I789,0))</f>
        <v/>
      </c>
      <c r="P789" s="35" t="str">
        <f aca="false">IF(A789="","",F789+O789+K789)</f>
        <v/>
      </c>
      <c r="Q789" s="36" t="str">
        <f aca="false">IF(A789="","",IF(P789-L789=M789,"OK","Divergente"))</f>
        <v/>
      </c>
    </row>
    <row r="790" customFormat="false" ht="15" hidden="false" customHeight="false" outlineLevel="0" collapsed="false">
      <c r="N790" s="34" t="str">
        <f aca="false">IF(D790="","",DATE(YEAR(D790),MONTH(D790),1))</f>
        <v/>
      </c>
      <c r="O790" s="35" t="str">
        <f aca="false">IF(A790="","",IF(ISNUMBER(I790),I790,0))</f>
        <v/>
      </c>
      <c r="P790" s="35" t="str">
        <f aca="false">IF(A790="","",F790+O790+K790)</f>
        <v/>
      </c>
      <c r="Q790" s="36" t="str">
        <f aca="false">IF(A790="","",IF(P790-L790=M790,"OK","Divergente"))</f>
        <v/>
      </c>
    </row>
    <row r="791" customFormat="false" ht="15" hidden="false" customHeight="false" outlineLevel="0" collapsed="false">
      <c r="N791" s="34" t="str">
        <f aca="false">IF(D791="","",DATE(YEAR(D791),MONTH(D791),1))</f>
        <v/>
      </c>
      <c r="O791" s="35" t="str">
        <f aca="false">IF(A791="","",IF(ISNUMBER(I791),I791,0))</f>
        <v/>
      </c>
      <c r="P791" s="35" t="str">
        <f aca="false">IF(A791="","",F791+O791+K791)</f>
        <v/>
      </c>
      <c r="Q791" s="36" t="str">
        <f aca="false">IF(A791="","",IF(P791-L791=M791,"OK","Divergente"))</f>
        <v/>
      </c>
    </row>
    <row r="792" customFormat="false" ht="15" hidden="false" customHeight="false" outlineLevel="0" collapsed="false">
      <c r="N792" s="34" t="str">
        <f aca="false">IF(D792="","",DATE(YEAR(D792),MONTH(D792),1))</f>
        <v/>
      </c>
      <c r="O792" s="35" t="str">
        <f aca="false">IF(A792="","",IF(ISNUMBER(I792),I792,0))</f>
        <v/>
      </c>
      <c r="P792" s="35" t="str">
        <f aca="false">IF(A792="","",F792+O792+K792)</f>
        <v/>
      </c>
      <c r="Q792" s="36" t="str">
        <f aca="false">IF(A792="","",IF(P792-L792=M792,"OK","Divergente"))</f>
        <v/>
      </c>
    </row>
    <row r="793" customFormat="false" ht="15" hidden="false" customHeight="false" outlineLevel="0" collapsed="false">
      <c r="N793" s="34" t="str">
        <f aca="false">IF(D793="","",DATE(YEAR(D793),MONTH(D793),1))</f>
        <v/>
      </c>
      <c r="O793" s="35" t="str">
        <f aca="false">IF(A793="","",IF(ISNUMBER(I793),I793,0))</f>
        <v/>
      </c>
      <c r="P793" s="35" t="str">
        <f aca="false">IF(A793="","",F793+O793+K793)</f>
        <v/>
      </c>
      <c r="Q793" s="36" t="str">
        <f aca="false">IF(A793="","",IF(P793-L793=M793,"OK","Divergente"))</f>
        <v/>
      </c>
    </row>
    <row r="794" customFormat="false" ht="15" hidden="false" customHeight="false" outlineLevel="0" collapsed="false">
      <c r="N794" s="34" t="str">
        <f aca="false">IF(D794="","",DATE(YEAR(D794),MONTH(D794),1))</f>
        <v/>
      </c>
      <c r="O794" s="35" t="str">
        <f aca="false">IF(A794="","",IF(ISNUMBER(I794),I794,0))</f>
        <v/>
      </c>
      <c r="P794" s="35" t="str">
        <f aca="false">IF(A794="","",F794+O794+K794)</f>
        <v/>
      </c>
      <c r="Q794" s="36" t="str">
        <f aca="false">IF(A794="","",IF(P794-L794=M794,"OK","Divergente"))</f>
        <v/>
      </c>
    </row>
    <row r="795" customFormat="false" ht="15" hidden="false" customHeight="false" outlineLevel="0" collapsed="false">
      <c r="N795" s="34" t="str">
        <f aca="false">IF(D795="","",DATE(YEAR(D795),MONTH(D795),1))</f>
        <v/>
      </c>
      <c r="O795" s="35" t="str">
        <f aca="false">IF(A795="","",IF(ISNUMBER(I795),I795,0))</f>
        <v/>
      </c>
      <c r="P795" s="35" t="str">
        <f aca="false">IF(A795="","",F795+O795+K795)</f>
        <v/>
      </c>
      <c r="Q795" s="36" t="str">
        <f aca="false">IF(A795="","",IF(P795-L795=M795,"OK","Divergente"))</f>
        <v/>
      </c>
    </row>
    <row r="796" customFormat="false" ht="15" hidden="false" customHeight="false" outlineLevel="0" collapsed="false">
      <c r="N796" s="34" t="str">
        <f aca="false">IF(D796="","",DATE(YEAR(D796),MONTH(D796),1))</f>
        <v/>
      </c>
      <c r="O796" s="35" t="str">
        <f aca="false">IF(A796="","",IF(ISNUMBER(I796),I796,0))</f>
        <v/>
      </c>
      <c r="P796" s="35" t="str">
        <f aca="false">IF(A796="","",F796+O796+K796)</f>
        <v/>
      </c>
      <c r="Q796" s="36" t="str">
        <f aca="false">IF(A796="","",IF(P796-L796=M796,"OK","Divergente"))</f>
        <v/>
      </c>
    </row>
    <row r="797" customFormat="false" ht="15" hidden="false" customHeight="false" outlineLevel="0" collapsed="false">
      <c r="N797" s="34" t="str">
        <f aca="false">IF(D797="","",DATE(YEAR(D797),MONTH(D797),1))</f>
        <v/>
      </c>
      <c r="O797" s="35" t="str">
        <f aca="false">IF(A797="","",IF(ISNUMBER(I797),I797,0))</f>
        <v/>
      </c>
      <c r="P797" s="35" t="str">
        <f aca="false">IF(A797="","",F797+O797+K797)</f>
        <v/>
      </c>
      <c r="Q797" s="36" t="str">
        <f aca="false">IF(A797="","",IF(P797-L797=M797,"OK","Divergente"))</f>
        <v/>
      </c>
    </row>
    <row r="798" customFormat="false" ht="15" hidden="false" customHeight="false" outlineLevel="0" collapsed="false">
      <c r="N798" s="34" t="str">
        <f aca="false">IF(D798="","",DATE(YEAR(D798),MONTH(D798),1))</f>
        <v/>
      </c>
      <c r="O798" s="35" t="str">
        <f aca="false">IF(A798="","",IF(ISNUMBER(I798),I798,0))</f>
        <v/>
      </c>
      <c r="P798" s="35" t="str">
        <f aca="false">IF(A798="","",F798+O798+K798)</f>
        <v/>
      </c>
      <c r="Q798" s="36" t="str">
        <f aca="false">IF(A798="","",IF(P798-L798=M798,"OK","Divergente"))</f>
        <v/>
      </c>
    </row>
    <row r="799" customFormat="false" ht="15" hidden="false" customHeight="false" outlineLevel="0" collapsed="false">
      <c r="N799" s="34" t="str">
        <f aca="false">IF(D799="","",DATE(YEAR(D799),MONTH(D799),1))</f>
        <v/>
      </c>
      <c r="O799" s="35" t="str">
        <f aca="false">IF(A799="","",IF(ISNUMBER(I799),I799,0))</f>
        <v/>
      </c>
      <c r="P799" s="35" t="str">
        <f aca="false">IF(A799="","",F799+O799+K799)</f>
        <v/>
      </c>
      <c r="Q799" s="36" t="str">
        <f aca="false">IF(A799="","",IF(P799-L799=M799,"OK","Divergente"))</f>
        <v/>
      </c>
    </row>
    <row r="800" customFormat="false" ht="15" hidden="false" customHeight="false" outlineLevel="0" collapsed="false">
      <c r="N800" s="34" t="str">
        <f aca="false">IF(D800="","",DATE(YEAR(D800),MONTH(D800),1))</f>
        <v/>
      </c>
      <c r="O800" s="35" t="str">
        <f aca="false">IF(A800="","",IF(ISNUMBER(I800),I800,0))</f>
        <v/>
      </c>
      <c r="P800" s="35" t="str">
        <f aca="false">IF(A800="","",F800+O800+K800)</f>
        <v/>
      </c>
      <c r="Q800" s="36" t="str">
        <f aca="false">IF(A800="","",IF(P800-L800=M800,"OK","Divergente"))</f>
        <v/>
      </c>
    </row>
    <row r="801" customFormat="false" ht="15" hidden="false" customHeight="false" outlineLevel="0" collapsed="false">
      <c r="N801" s="34" t="str">
        <f aca="false">IF(D801="","",DATE(YEAR(D801),MONTH(D801),1))</f>
        <v/>
      </c>
      <c r="O801" s="35" t="str">
        <f aca="false">IF(A801="","",IF(ISNUMBER(I801),I801,0))</f>
        <v/>
      </c>
      <c r="P801" s="35" t="str">
        <f aca="false">IF(A801="","",F801+O801+K801)</f>
        <v/>
      </c>
      <c r="Q801" s="36" t="str">
        <f aca="false">IF(A801="","",IF(P801-L801=M801,"OK","Divergente"))</f>
        <v/>
      </c>
    </row>
    <row r="802" customFormat="false" ht="15" hidden="false" customHeight="false" outlineLevel="0" collapsed="false">
      <c r="N802" s="34" t="str">
        <f aca="false">IF(D802="","",DATE(YEAR(D802),MONTH(D802),1))</f>
        <v/>
      </c>
      <c r="O802" s="35" t="str">
        <f aca="false">IF(A802="","",IF(ISNUMBER(I802),I802,0))</f>
        <v/>
      </c>
      <c r="P802" s="35" t="str">
        <f aca="false">IF(A802="","",F802+O802+K802)</f>
        <v/>
      </c>
      <c r="Q802" s="36" t="str">
        <f aca="false">IF(A802="","",IF(P802-L802=M802,"OK","Divergente"))</f>
        <v/>
      </c>
    </row>
    <row r="803" customFormat="false" ht="15" hidden="false" customHeight="false" outlineLevel="0" collapsed="false">
      <c r="N803" s="34" t="str">
        <f aca="false">IF(D803="","",DATE(YEAR(D803),MONTH(D803),1))</f>
        <v/>
      </c>
      <c r="O803" s="35" t="str">
        <f aca="false">IF(A803="","",IF(ISNUMBER(I803),I803,0))</f>
        <v/>
      </c>
      <c r="P803" s="35" t="str">
        <f aca="false">IF(A803="","",F803+O803+K803)</f>
        <v/>
      </c>
      <c r="Q803" s="36" t="str">
        <f aca="false">IF(A803="","",IF(P803-L803=M803,"OK","Divergente"))</f>
        <v/>
      </c>
    </row>
    <row r="804" customFormat="false" ht="15" hidden="false" customHeight="false" outlineLevel="0" collapsed="false">
      <c r="N804" s="34" t="str">
        <f aca="false">IF(D804="","",DATE(YEAR(D804),MONTH(D804),1))</f>
        <v/>
      </c>
      <c r="O804" s="35" t="str">
        <f aca="false">IF(A804="","",IF(ISNUMBER(I804),I804,0))</f>
        <v/>
      </c>
      <c r="P804" s="35" t="str">
        <f aca="false">IF(A804="","",F804+O804+K804)</f>
        <v/>
      </c>
      <c r="Q804" s="36" t="str">
        <f aca="false">IF(A804="","",IF(P804-L804=M804,"OK","Divergente"))</f>
        <v/>
      </c>
    </row>
    <row r="805" customFormat="false" ht="15" hidden="false" customHeight="false" outlineLevel="0" collapsed="false">
      <c r="N805" s="34" t="str">
        <f aca="false">IF(D805="","",DATE(YEAR(D805),MONTH(D805),1))</f>
        <v/>
      </c>
      <c r="O805" s="35" t="str">
        <f aca="false">IF(A805="","",IF(ISNUMBER(I805),I805,0))</f>
        <v/>
      </c>
      <c r="P805" s="35" t="str">
        <f aca="false">IF(A805="","",F805+O805+K805)</f>
        <v/>
      </c>
      <c r="Q805" s="36" t="str">
        <f aca="false">IF(A805="","",IF(P805-L805=M805,"OK","Divergente"))</f>
        <v/>
      </c>
    </row>
    <row r="806" customFormat="false" ht="15" hidden="false" customHeight="false" outlineLevel="0" collapsed="false">
      <c r="N806" s="34" t="str">
        <f aca="false">IF(D806="","",DATE(YEAR(D806),MONTH(D806),1))</f>
        <v/>
      </c>
      <c r="O806" s="35" t="str">
        <f aca="false">IF(A806="","",IF(ISNUMBER(I806),I806,0))</f>
        <v/>
      </c>
      <c r="P806" s="35" t="str">
        <f aca="false">IF(A806="","",F806+O806+K806)</f>
        <v/>
      </c>
      <c r="Q806" s="36" t="str">
        <f aca="false">IF(A806="","",IF(P806-L806=M806,"OK","Divergente"))</f>
        <v/>
      </c>
    </row>
    <row r="807" customFormat="false" ht="15" hidden="false" customHeight="false" outlineLevel="0" collapsed="false">
      <c r="N807" s="34" t="str">
        <f aca="false">IF(D807="","",DATE(YEAR(D807),MONTH(D807),1))</f>
        <v/>
      </c>
      <c r="O807" s="35" t="str">
        <f aca="false">IF(A807="","",IF(ISNUMBER(I807),I807,0))</f>
        <v/>
      </c>
      <c r="P807" s="35" t="str">
        <f aca="false">IF(A807="","",F807+O807+K807)</f>
        <v/>
      </c>
      <c r="Q807" s="36" t="str">
        <f aca="false">IF(A807="","",IF(P807-L807=M807,"OK","Divergente"))</f>
        <v/>
      </c>
    </row>
    <row r="808" customFormat="false" ht="15" hidden="false" customHeight="false" outlineLevel="0" collapsed="false">
      <c r="N808" s="34" t="str">
        <f aca="false">IF(D808="","",DATE(YEAR(D808),MONTH(D808),1))</f>
        <v/>
      </c>
      <c r="O808" s="35" t="str">
        <f aca="false">IF(A808="","",IF(ISNUMBER(I808),I808,0))</f>
        <v/>
      </c>
      <c r="P808" s="35" t="str">
        <f aca="false">IF(A808="","",F808+O808+K808)</f>
        <v/>
      </c>
      <c r="Q808" s="36" t="str">
        <f aca="false">IF(A808="","",IF(P808-L808=M808,"OK","Divergente"))</f>
        <v/>
      </c>
    </row>
    <row r="809" customFormat="false" ht="15" hidden="false" customHeight="false" outlineLevel="0" collapsed="false">
      <c r="N809" s="34" t="str">
        <f aca="false">IF(D809="","",DATE(YEAR(D809),MONTH(D809),1))</f>
        <v/>
      </c>
      <c r="O809" s="35" t="str">
        <f aca="false">IF(A809="","",IF(ISNUMBER(I809),I809,0))</f>
        <v/>
      </c>
      <c r="P809" s="35" t="str">
        <f aca="false">IF(A809="","",F809+O809+K809)</f>
        <v/>
      </c>
      <c r="Q809" s="36" t="str">
        <f aca="false">IF(A809="","",IF(P809-L809=M809,"OK","Divergente"))</f>
        <v/>
      </c>
    </row>
    <row r="810" customFormat="false" ht="15" hidden="false" customHeight="false" outlineLevel="0" collapsed="false">
      <c r="N810" s="34" t="str">
        <f aca="false">IF(D810="","",DATE(YEAR(D810),MONTH(D810),1))</f>
        <v/>
      </c>
      <c r="O810" s="35" t="str">
        <f aca="false">IF(A810="","",IF(ISNUMBER(I810),I810,0))</f>
        <v/>
      </c>
      <c r="P810" s="35" t="str">
        <f aca="false">IF(A810="","",F810+O810+K810)</f>
        <v/>
      </c>
      <c r="Q810" s="36" t="str">
        <f aca="false">IF(A810="","",IF(P810-L810=M810,"OK","Divergente"))</f>
        <v/>
      </c>
    </row>
    <row r="811" customFormat="false" ht="15" hidden="false" customHeight="false" outlineLevel="0" collapsed="false">
      <c r="N811" s="34" t="str">
        <f aca="false">IF(D811="","",DATE(YEAR(D811),MONTH(D811),1))</f>
        <v/>
      </c>
      <c r="O811" s="35" t="str">
        <f aca="false">IF(A811="","",IF(ISNUMBER(I811),I811,0))</f>
        <v/>
      </c>
      <c r="P811" s="35" t="str">
        <f aca="false">IF(A811="","",F811+O811+K811)</f>
        <v/>
      </c>
      <c r="Q811" s="36" t="str">
        <f aca="false">IF(A811="","",IF(P811-L811=M811,"OK","Divergente"))</f>
        <v/>
      </c>
    </row>
    <row r="812" customFormat="false" ht="15" hidden="false" customHeight="false" outlineLevel="0" collapsed="false">
      <c r="N812" s="34" t="str">
        <f aca="false">IF(D812="","",DATE(YEAR(D812),MONTH(D812),1))</f>
        <v/>
      </c>
      <c r="O812" s="35" t="str">
        <f aca="false">IF(A812="","",IF(ISNUMBER(I812),I812,0))</f>
        <v/>
      </c>
      <c r="P812" s="35" t="str">
        <f aca="false">IF(A812="","",F812+O812+K812)</f>
        <v/>
      </c>
      <c r="Q812" s="36" t="str">
        <f aca="false">IF(A812="","",IF(P812-L812=M812,"OK","Divergente"))</f>
        <v/>
      </c>
    </row>
    <row r="813" customFormat="false" ht="15" hidden="false" customHeight="false" outlineLevel="0" collapsed="false">
      <c r="N813" s="34" t="str">
        <f aca="false">IF(D813="","",DATE(YEAR(D813),MONTH(D813),1))</f>
        <v/>
      </c>
      <c r="O813" s="35" t="str">
        <f aca="false">IF(A813="","",IF(ISNUMBER(I813),I813,0))</f>
        <v/>
      </c>
      <c r="P813" s="35" t="str">
        <f aca="false">IF(A813="","",F813+O813+K813)</f>
        <v/>
      </c>
      <c r="Q813" s="36" t="str">
        <f aca="false">IF(A813="","",IF(P813-L813=M813,"OK","Divergente"))</f>
        <v/>
      </c>
    </row>
    <row r="814" customFormat="false" ht="15" hidden="false" customHeight="false" outlineLevel="0" collapsed="false">
      <c r="N814" s="34" t="str">
        <f aca="false">IF(D814="","",DATE(YEAR(D814),MONTH(D814),1))</f>
        <v/>
      </c>
      <c r="O814" s="35" t="str">
        <f aca="false">IF(A814="","",IF(ISNUMBER(I814),I814,0))</f>
        <v/>
      </c>
      <c r="P814" s="35" t="str">
        <f aca="false">IF(A814="","",F814+O814+K814)</f>
        <v/>
      </c>
      <c r="Q814" s="36" t="str">
        <f aca="false">IF(A814="","",IF(P814-L814=M814,"OK","Divergente"))</f>
        <v/>
      </c>
    </row>
    <row r="815" customFormat="false" ht="15" hidden="false" customHeight="false" outlineLevel="0" collapsed="false">
      <c r="N815" s="34" t="str">
        <f aca="false">IF(D815="","",DATE(YEAR(D815),MONTH(D815),1))</f>
        <v/>
      </c>
      <c r="O815" s="35" t="str">
        <f aca="false">IF(A815="","",IF(ISNUMBER(I815),I815,0))</f>
        <v/>
      </c>
      <c r="P815" s="35" t="str">
        <f aca="false">IF(A815="","",F815+O815+K815)</f>
        <v/>
      </c>
      <c r="Q815" s="36" t="str">
        <f aca="false">IF(A815="","",IF(P815-L815=M815,"OK","Divergente"))</f>
        <v/>
      </c>
    </row>
    <row r="816" customFormat="false" ht="15" hidden="false" customHeight="false" outlineLevel="0" collapsed="false">
      <c r="N816" s="34" t="str">
        <f aca="false">IF(D816="","",DATE(YEAR(D816),MONTH(D816),1))</f>
        <v/>
      </c>
      <c r="O816" s="35" t="str">
        <f aca="false">IF(A816="","",IF(ISNUMBER(I816),I816,0))</f>
        <v/>
      </c>
      <c r="P816" s="35" t="str">
        <f aca="false">IF(A816="","",F816+O816+K816)</f>
        <v/>
      </c>
      <c r="Q816" s="36" t="str">
        <f aca="false">IF(A816="","",IF(P816-L816=M816,"OK","Divergente"))</f>
        <v/>
      </c>
    </row>
    <row r="817" customFormat="false" ht="15" hidden="false" customHeight="false" outlineLevel="0" collapsed="false">
      <c r="N817" s="34" t="str">
        <f aca="false">IF(D817="","",DATE(YEAR(D817),MONTH(D817),1))</f>
        <v/>
      </c>
      <c r="O817" s="35" t="str">
        <f aca="false">IF(A817="","",IF(ISNUMBER(I817),I817,0))</f>
        <v/>
      </c>
      <c r="P817" s="35" t="str">
        <f aca="false">IF(A817="","",F817+O817+K817)</f>
        <v/>
      </c>
      <c r="Q817" s="36" t="str">
        <f aca="false">IF(A817="","",IF(P817-L817=M817,"OK","Divergente"))</f>
        <v/>
      </c>
    </row>
    <row r="818" customFormat="false" ht="15" hidden="false" customHeight="false" outlineLevel="0" collapsed="false">
      <c r="N818" s="34" t="str">
        <f aca="false">IF(D818="","",DATE(YEAR(D818),MONTH(D818),1))</f>
        <v/>
      </c>
      <c r="O818" s="35" t="str">
        <f aca="false">IF(A818="","",IF(ISNUMBER(I818),I818,0))</f>
        <v/>
      </c>
      <c r="P818" s="35" t="str">
        <f aca="false">IF(A818="","",F818+O818+K818)</f>
        <v/>
      </c>
      <c r="Q818" s="36" t="str">
        <f aca="false">IF(A818="","",IF(P818-L818=M818,"OK","Divergente"))</f>
        <v/>
      </c>
    </row>
    <row r="819" customFormat="false" ht="15" hidden="false" customHeight="false" outlineLevel="0" collapsed="false">
      <c r="N819" s="34" t="str">
        <f aca="false">IF(D819="","",DATE(YEAR(D819),MONTH(D819),1))</f>
        <v/>
      </c>
      <c r="O819" s="35" t="str">
        <f aca="false">IF(A819="","",IF(ISNUMBER(I819),I819,0))</f>
        <v/>
      </c>
      <c r="P819" s="35" t="str">
        <f aca="false">IF(A819="","",F819+O819+K819)</f>
        <v/>
      </c>
      <c r="Q819" s="36" t="str">
        <f aca="false">IF(A819="","",IF(P819-L819=M819,"OK","Divergente"))</f>
        <v/>
      </c>
    </row>
    <row r="820" customFormat="false" ht="15" hidden="false" customHeight="false" outlineLevel="0" collapsed="false">
      <c r="N820" s="34" t="str">
        <f aca="false">IF(D820="","",DATE(YEAR(D820),MONTH(D820),1))</f>
        <v/>
      </c>
      <c r="O820" s="35" t="str">
        <f aca="false">IF(A820="","",IF(ISNUMBER(I820),I820,0))</f>
        <v/>
      </c>
      <c r="P820" s="35" t="str">
        <f aca="false">IF(A820="","",F820+O820+K820)</f>
        <v/>
      </c>
      <c r="Q820" s="36" t="str">
        <f aca="false">IF(A820="","",IF(P820-L820=M820,"OK","Divergente"))</f>
        <v/>
      </c>
    </row>
    <row r="821" customFormat="false" ht="15" hidden="false" customHeight="false" outlineLevel="0" collapsed="false">
      <c r="N821" s="34" t="str">
        <f aca="false">IF(D821="","",DATE(YEAR(D821),MONTH(D821),1))</f>
        <v/>
      </c>
      <c r="O821" s="35" t="str">
        <f aca="false">IF(A821="","",IF(ISNUMBER(I821),I821,0))</f>
        <v/>
      </c>
      <c r="P821" s="35" t="str">
        <f aca="false">IF(A821="","",F821+O821+K821)</f>
        <v/>
      </c>
      <c r="Q821" s="36" t="str">
        <f aca="false">IF(A821="","",IF(P821-L821=M821,"OK","Divergente"))</f>
        <v/>
      </c>
    </row>
    <row r="822" customFormat="false" ht="15" hidden="false" customHeight="false" outlineLevel="0" collapsed="false">
      <c r="N822" s="34" t="str">
        <f aca="false">IF(D822="","",DATE(YEAR(D822),MONTH(D822),1))</f>
        <v/>
      </c>
      <c r="O822" s="35" t="str">
        <f aca="false">IF(A822="","",IF(ISNUMBER(I822),I822,0))</f>
        <v/>
      </c>
      <c r="P822" s="35" t="str">
        <f aca="false">IF(A822="","",F822+O822+K822)</f>
        <v/>
      </c>
      <c r="Q822" s="36" t="str">
        <f aca="false">IF(A822="","",IF(P822-L822=M822,"OK","Divergente"))</f>
        <v/>
      </c>
    </row>
    <row r="823" customFormat="false" ht="15" hidden="false" customHeight="false" outlineLevel="0" collapsed="false">
      <c r="N823" s="34" t="str">
        <f aca="false">IF(D823="","",DATE(YEAR(D823),MONTH(D823),1))</f>
        <v/>
      </c>
      <c r="O823" s="35" t="str">
        <f aca="false">IF(A823="","",IF(ISNUMBER(I823),I823,0))</f>
        <v/>
      </c>
      <c r="P823" s="35" t="str">
        <f aca="false">IF(A823="","",F823+O823+K823)</f>
        <v/>
      </c>
      <c r="Q823" s="36" t="str">
        <f aca="false">IF(A823="","",IF(P823-L823=M823,"OK","Divergente"))</f>
        <v/>
      </c>
    </row>
    <row r="824" customFormat="false" ht="15" hidden="false" customHeight="false" outlineLevel="0" collapsed="false">
      <c r="N824" s="34" t="str">
        <f aca="false">IF(D824="","",DATE(YEAR(D824),MONTH(D824),1))</f>
        <v/>
      </c>
      <c r="O824" s="35" t="str">
        <f aca="false">IF(A824="","",IF(ISNUMBER(I824),I824,0))</f>
        <v/>
      </c>
      <c r="P824" s="35" t="str">
        <f aca="false">IF(A824="","",F824+O824+K824)</f>
        <v/>
      </c>
      <c r="Q824" s="36" t="str">
        <f aca="false">IF(A824="","",IF(P824-L824=M824,"OK","Divergente"))</f>
        <v/>
      </c>
    </row>
    <row r="825" customFormat="false" ht="15" hidden="false" customHeight="false" outlineLevel="0" collapsed="false">
      <c r="N825" s="34" t="str">
        <f aca="false">IF(D825="","",DATE(YEAR(D825),MONTH(D825),1))</f>
        <v/>
      </c>
      <c r="O825" s="35" t="str">
        <f aca="false">IF(A825="","",IF(ISNUMBER(I825),I825,0))</f>
        <v/>
      </c>
      <c r="P825" s="35" t="str">
        <f aca="false">IF(A825="","",F825+O825+K825)</f>
        <v/>
      </c>
      <c r="Q825" s="36" t="str">
        <f aca="false">IF(A825="","",IF(P825-L825=M825,"OK","Divergente"))</f>
        <v/>
      </c>
    </row>
    <row r="826" customFormat="false" ht="15" hidden="false" customHeight="false" outlineLevel="0" collapsed="false">
      <c r="N826" s="34" t="str">
        <f aca="false">IF(D826="","",DATE(YEAR(D826),MONTH(D826),1))</f>
        <v/>
      </c>
      <c r="O826" s="35" t="str">
        <f aca="false">IF(A826="","",IF(ISNUMBER(I826),I826,0))</f>
        <v/>
      </c>
      <c r="P826" s="35" t="str">
        <f aca="false">IF(A826="","",F826+O826+K826)</f>
        <v/>
      </c>
      <c r="Q826" s="36" t="str">
        <f aca="false">IF(A826="","",IF(P826-L826=M826,"OK","Divergente"))</f>
        <v/>
      </c>
    </row>
    <row r="827" customFormat="false" ht="15" hidden="false" customHeight="false" outlineLevel="0" collapsed="false">
      <c r="N827" s="34" t="str">
        <f aca="false">IF(D827="","",DATE(YEAR(D827),MONTH(D827),1))</f>
        <v/>
      </c>
      <c r="O827" s="35" t="str">
        <f aca="false">IF(A827="","",IF(ISNUMBER(I827),I827,0))</f>
        <v/>
      </c>
      <c r="P827" s="35" t="str">
        <f aca="false">IF(A827="","",F827+O827+K827)</f>
        <v/>
      </c>
      <c r="Q827" s="36" t="str">
        <f aca="false">IF(A827="","",IF(P827-L827=M827,"OK","Divergente"))</f>
        <v/>
      </c>
    </row>
    <row r="828" customFormat="false" ht="15" hidden="false" customHeight="false" outlineLevel="0" collapsed="false">
      <c r="N828" s="34" t="str">
        <f aca="false">IF(D828="","",DATE(YEAR(D828),MONTH(D828),1))</f>
        <v/>
      </c>
      <c r="O828" s="35" t="str">
        <f aca="false">IF(A828="","",IF(ISNUMBER(I828),I828,0))</f>
        <v/>
      </c>
      <c r="P828" s="35" t="str">
        <f aca="false">IF(A828="","",F828+O828+K828)</f>
        <v/>
      </c>
      <c r="Q828" s="36" t="str">
        <f aca="false">IF(A828="","",IF(P828-L828=M828,"OK","Divergente"))</f>
        <v/>
      </c>
    </row>
    <row r="829" customFormat="false" ht="15" hidden="false" customHeight="false" outlineLevel="0" collapsed="false">
      <c r="N829" s="34" t="str">
        <f aca="false">IF(D829="","",DATE(YEAR(D829),MONTH(D829),1))</f>
        <v/>
      </c>
      <c r="O829" s="35" t="str">
        <f aca="false">IF(A829="","",IF(ISNUMBER(I829),I829,0))</f>
        <v/>
      </c>
      <c r="P829" s="35" t="str">
        <f aca="false">IF(A829="","",F829+O829+K829)</f>
        <v/>
      </c>
      <c r="Q829" s="36" t="str">
        <f aca="false">IF(A829="","",IF(P829-L829=M829,"OK","Divergente"))</f>
        <v/>
      </c>
    </row>
    <row r="830" customFormat="false" ht="15" hidden="false" customHeight="false" outlineLevel="0" collapsed="false">
      <c r="N830" s="34" t="str">
        <f aca="false">IF(D830="","",DATE(YEAR(D830),MONTH(D830),1))</f>
        <v/>
      </c>
      <c r="O830" s="35" t="str">
        <f aca="false">IF(A830="","",IF(ISNUMBER(I830),I830,0))</f>
        <v/>
      </c>
      <c r="P830" s="35" t="str">
        <f aca="false">IF(A830="","",F830+O830+K830)</f>
        <v/>
      </c>
      <c r="Q830" s="36" t="str">
        <f aca="false">IF(A830="","",IF(P830-L830=M830,"OK","Divergente"))</f>
        <v/>
      </c>
    </row>
    <row r="831" customFormat="false" ht="15" hidden="false" customHeight="false" outlineLevel="0" collapsed="false">
      <c r="N831" s="34" t="str">
        <f aca="false">IF(D831="","",DATE(YEAR(D831),MONTH(D831),1))</f>
        <v/>
      </c>
      <c r="O831" s="35" t="str">
        <f aca="false">IF(A831="","",IF(ISNUMBER(I831),I831,0))</f>
        <v/>
      </c>
      <c r="P831" s="35" t="str">
        <f aca="false">IF(A831="","",F831+O831+K831)</f>
        <v/>
      </c>
      <c r="Q831" s="36" t="str">
        <f aca="false">IF(A831="","",IF(P831-L831=M831,"OK","Divergente"))</f>
        <v/>
      </c>
    </row>
    <row r="832" customFormat="false" ht="15" hidden="false" customHeight="false" outlineLevel="0" collapsed="false">
      <c r="N832" s="34" t="str">
        <f aca="false">IF(D832="","",DATE(YEAR(D832),MONTH(D832),1))</f>
        <v/>
      </c>
      <c r="O832" s="35" t="str">
        <f aca="false">IF(A832="","",IF(ISNUMBER(I832),I832,0))</f>
        <v/>
      </c>
      <c r="P832" s="35" t="str">
        <f aca="false">IF(A832="","",F832+O832+K832)</f>
        <v/>
      </c>
      <c r="Q832" s="36" t="str">
        <f aca="false">IF(A832="","",IF(P832-L832=M832,"OK","Divergente"))</f>
        <v/>
      </c>
    </row>
    <row r="833" customFormat="false" ht="15" hidden="false" customHeight="false" outlineLevel="0" collapsed="false">
      <c r="N833" s="34" t="str">
        <f aca="false">IF(D833="","",DATE(YEAR(D833),MONTH(D833),1))</f>
        <v/>
      </c>
      <c r="O833" s="35" t="str">
        <f aca="false">IF(A833="","",IF(ISNUMBER(I833),I833,0))</f>
        <v/>
      </c>
      <c r="P833" s="35" t="str">
        <f aca="false">IF(A833="","",F833+O833+K833)</f>
        <v/>
      </c>
      <c r="Q833" s="36" t="str">
        <f aca="false">IF(A833="","",IF(P833-L833=M833,"OK","Divergente"))</f>
        <v/>
      </c>
    </row>
    <row r="834" customFormat="false" ht="15" hidden="false" customHeight="false" outlineLevel="0" collapsed="false">
      <c r="N834" s="34" t="str">
        <f aca="false">IF(D834="","",DATE(YEAR(D834),MONTH(D834),1))</f>
        <v/>
      </c>
      <c r="O834" s="35" t="str">
        <f aca="false">IF(A834="","",IF(ISNUMBER(I834),I834,0))</f>
        <v/>
      </c>
      <c r="P834" s="35" t="str">
        <f aca="false">IF(A834="","",F834+O834+K834)</f>
        <v/>
      </c>
      <c r="Q834" s="36" t="str">
        <f aca="false">IF(A834="","",IF(P834-L834=M834,"OK","Divergente"))</f>
        <v/>
      </c>
    </row>
    <row r="835" customFormat="false" ht="15" hidden="false" customHeight="false" outlineLevel="0" collapsed="false">
      <c r="N835" s="34" t="str">
        <f aca="false">IF(D835="","",DATE(YEAR(D835),MONTH(D835),1))</f>
        <v/>
      </c>
      <c r="O835" s="35" t="str">
        <f aca="false">IF(A835="","",IF(ISNUMBER(I835),I835,0))</f>
        <v/>
      </c>
      <c r="P835" s="35" t="str">
        <f aca="false">IF(A835="","",F835+O835+K835)</f>
        <v/>
      </c>
      <c r="Q835" s="36" t="str">
        <f aca="false">IF(A835="","",IF(P835-L835=M835,"OK","Divergente"))</f>
        <v/>
      </c>
    </row>
    <row r="836" customFormat="false" ht="15" hidden="false" customHeight="false" outlineLevel="0" collapsed="false">
      <c r="N836" s="34" t="str">
        <f aca="false">IF(D836="","",DATE(YEAR(D836),MONTH(D836),1))</f>
        <v/>
      </c>
      <c r="O836" s="35" t="str">
        <f aca="false">IF(A836="","",IF(ISNUMBER(I836),I836,0))</f>
        <v/>
      </c>
      <c r="P836" s="35" t="str">
        <f aca="false">IF(A836="","",F836+O836+K836)</f>
        <v/>
      </c>
      <c r="Q836" s="36" t="str">
        <f aca="false">IF(A836="","",IF(P836-L836=M836,"OK","Divergente"))</f>
        <v/>
      </c>
    </row>
    <row r="837" customFormat="false" ht="15" hidden="false" customHeight="false" outlineLevel="0" collapsed="false">
      <c r="N837" s="34" t="str">
        <f aca="false">IF(D837="","",DATE(YEAR(D837),MONTH(D837),1))</f>
        <v/>
      </c>
      <c r="O837" s="35" t="str">
        <f aca="false">IF(A837="","",IF(ISNUMBER(I837),I837,0))</f>
        <v/>
      </c>
      <c r="P837" s="35" t="str">
        <f aca="false">IF(A837="","",F837+O837+K837)</f>
        <v/>
      </c>
      <c r="Q837" s="36" t="str">
        <f aca="false">IF(A837="","",IF(P837-L837=M837,"OK","Divergente"))</f>
        <v/>
      </c>
    </row>
    <row r="838" customFormat="false" ht="15" hidden="false" customHeight="false" outlineLevel="0" collapsed="false">
      <c r="N838" s="34" t="str">
        <f aca="false">IF(D838="","",DATE(YEAR(D838),MONTH(D838),1))</f>
        <v/>
      </c>
      <c r="O838" s="35" t="str">
        <f aca="false">IF(A838="","",IF(ISNUMBER(I838),I838,0))</f>
        <v/>
      </c>
      <c r="P838" s="35" t="str">
        <f aca="false">IF(A838="","",F838+O838+K838)</f>
        <v/>
      </c>
      <c r="Q838" s="36" t="str">
        <f aca="false">IF(A838="","",IF(P838-L838=M838,"OK","Divergente"))</f>
        <v/>
      </c>
    </row>
    <row r="839" customFormat="false" ht="15" hidden="false" customHeight="false" outlineLevel="0" collapsed="false">
      <c r="N839" s="34" t="str">
        <f aca="false">IF(D839="","",DATE(YEAR(D839),MONTH(D839),1))</f>
        <v/>
      </c>
      <c r="O839" s="35" t="str">
        <f aca="false">IF(A839="","",IF(ISNUMBER(I839),I839,0))</f>
        <v/>
      </c>
      <c r="P839" s="35" t="str">
        <f aca="false">IF(A839="","",F839+O839+K839)</f>
        <v/>
      </c>
      <c r="Q839" s="36" t="str">
        <f aca="false">IF(A839="","",IF(P839-L839=M839,"OK","Divergente"))</f>
        <v/>
      </c>
    </row>
    <row r="840" customFormat="false" ht="15" hidden="false" customHeight="false" outlineLevel="0" collapsed="false">
      <c r="N840" s="34" t="str">
        <f aca="false">IF(D840="","",DATE(YEAR(D840),MONTH(D840),1))</f>
        <v/>
      </c>
      <c r="O840" s="35" t="str">
        <f aca="false">IF(A840="","",IF(ISNUMBER(I840),I840,0))</f>
        <v/>
      </c>
      <c r="P840" s="35" t="str">
        <f aca="false">IF(A840="","",F840+O840+K840)</f>
        <v/>
      </c>
      <c r="Q840" s="36" t="str">
        <f aca="false">IF(A840="","",IF(P840-L840=M840,"OK","Divergente"))</f>
        <v/>
      </c>
    </row>
    <row r="841" customFormat="false" ht="15" hidden="false" customHeight="false" outlineLevel="0" collapsed="false">
      <c r="N841" s="34" t="str">
        <f aca="false">IF(D841="","",DATE(YEAR(D841),MONTH(D841),1))</f>
        <v/>
      </c>
      <c r="O841" s="35" t="str">
        <f aca="false">IF(A841="","",IF(ISNUMBER(I841),I841,0))</f>
        <v/>
      </c>
      <c r="P841" s="35" t="str">
        <f aca="false">IF(A841="","",F841+O841+K841)</f>
        <v/>
      </c>
      <c r="Q841" s="36" t="str">
        <f aca="false">IF(A841="","",IF(P841-L841=M841,"OK","Divergente"))</f>
        <v/>
      </c>
    </row>
    <row r="842" customFormat="false" ht="15" hidden="false" customHeight="false" outlineLevel="0" collapsed="false">
      <c r="N842" s="34" t="str">
        <f aca="false">IF(D842="","",DATE(YEAR(D842),MONTH(D842),1))</f>
        <v/>
      </c>
      <c r="O842" s="35" t="str">
        <f aca="false">IF(A842="","",IF(ISNUMBER(I842),I842,0))</f>
        <v/>
      </c>
      <c r="P842" s="35" t="str">
        <f aca="false">IF(A842="","",F842+O842+K842)</f>
        <v/>
      </c>
      <c r="Q842" s="36" t="str">
        <f aca="false">IF(A842="","",IF(P842-L842=M842,"OK","Divergente"))</f>
        <v/>
      </c>
    </row>
    <row r="843" customFormat="false" ht="15" hidden="false" customHeight="false" outlineLevel="0" collapsed="false">
      <c r="N843" s="34" t="str">
        <f aca="false">IF(D843="","",DATE(YEAR(D843),MONTH(D843),1))</f>
        <v/>
      </c>
      <c r="O843" s="35" t="str">
        <f aca="false">IF(A843="","",IF(ISNUMBER(I843),I843,0))</f>
        <v/>
      </c>
      <c r="P843" s="35" t="str">
        <f aca="false">IF(A843="","",F843+O843+K843)</f>
        <v/>
      </c>
      <c r="Q843" s="36" t="str">
        <f aca="false">IF(A843="","",IF(P843-L843=M843,"OK","Divergente"))</f>
        <v/>
      </c>
    </row>
    <row r="844" customFormat="false" ht="15" hidden="false" customHeight="false" outlineLevel="0" collapsed="false">
      <c r="N844" s="34" t="str">
        <f aca="false">IF(D844="","",DATE(YEAR(D844),MONTH(D844),1))</f>
        <v/>
      </c>
      <c r="O844" s="35" t="str">
        <f aca="false">IF(A844="","",IF(ISNUMBER(I844),I844,0))</f>
        <v/>
      </c>
      <c r="P844" s="35" t="str">
        <f aca="false">IF(A844="","",F844+O844+K844)</f>
        <v/>
      </c>
      <c r="Q844" s="36" t="str">
        <f aca="false">IF(A844="","",IF(P844-L844=M844,"OK","Divergente"))</f>
        <v/>
      </c>
    </row>
    <row r="845" customFormat="false" ht="15" hidden="false" customHeight="false" outlineLevel="0" collapsed="false">
      <c r="N845" s="34" t="str">
        <f aca="false">IF(D845="","",DATE(YEAR(D845),MONTH(D845),1))</f>
        <v/>
      </c>
      <c r="O845" s="35" t="str">
        <f aca="false">IF(A845="","",IF(ISNUMBER(I845),I845,0))</f>
        <v/>
      </c>
      <c r="P845" s="35" t="str">
        <f aca="false">IF(A845="","",F845+O845+K845)</f>
        <v/>
      </c>
      <c r="Q845" s="36" t="str">
        <f aca="false">IF(A845="","",IF(P845-L845=M845,"OK","Divergente"))</f>
        <v/>
      </c>
    </row>
    <row r="846" customFormat="false" ht="15" hidden="false" customHeight="false" outlineLevel="0" collapsed="false">
      <c r="N846" s="34" t="str">
        <f aca="false">IF(D846="","",DATE(YEAR(D846),MONTH(D846),1))</f>
        <v/>
      </c>
      <c r="O846" s="35" t="str">
        <f aca="false">IF(A846="","",IF(ISNUMBER(I846),I846,0))</f>
        <v/>
      </c>
      <c r="P846" s="35" t="str">
        <f aca="false">IF(A846="","",F846+O846+K846)</f>
        <v/>
      </c>
      <c r="Q846" s="36" t="str">
        <f aca="false">IF(A846="","",IF(P846-L846=M846,"OK","Divergente"))</f>
        <v/>
      </c>
    </row>
    <row r="847" customFormat="false" ht="15" hidden="false" customHeight="false" outlineLevel="0" collapsed="false">
      <c r="N847" s="34" t="str">
        <f aca="false">IF(D847="","",DATE(YEAR(D847),MONTH(D847),1))</f>
        <v/>
      </c>
      <c r="O847" s="35" t="str">
        <f aca="false">IF(A847="","",IF(ISNUMBER(I847),I847,0))</f>
        <v/>
      </c>
      <c r="P847" s="35" t="str">
        <f aca="false">IF(A847="","",F847+O847+K847)</f>
        <v/>
      </c>
      <c r="Q847" s="36" t="str">
        <f aca="false">IF(A847="","",IF(P847-L847=M847,"OK","Divergente"))</f>
        <v/>
      </c>
    </row>
    <row r="848" customFormat="false" ht="15" hidden="false" customHeight="false" outlineLevel="0" collapsed="false">
      <c r="N848" s="34" t="str">
        <f aca="false">IF(D848="","",DATE(YEAR(D848),MONTH(D848),1))</f>
        <v/>
      </c>
      <c r="O848" s="35" t="str">
        <f aca="false">IF(A848="","",IF(ISNUMBER(I848),I848,0))</f>
        <v/>
      </c>
      <c r="P848" s="35" t="str">
        <f aca="false">IF(A848="","",F848+O848+K848)</f>
        <v/>
      </c>
      <c r="Q848" s="36" t="str">
        <f aca="false">IF(A848="","",IF(P848-L848=M848,"OK","Divergente"))</f>
        <v/>
      </c>
    </row>
    <row r="849" customFormat="false" ht="15" hidden="false" customHeight="false" outlineLevel="0" collapsed="false">
      <c r="N849" s="34" t="str">
        <f aca="false">IF(D849="","",DATE(YEAR(D849),MONTH(D849),1))</f>
        <v/>
      </c>
      <c r="O849" s="35" t="str">
        <f aca="false">IF(A849="","",IF(ISNUMBER(I849),I849,0))</f>
        <v/>
      </c>
      <c r="P849" s="35" t="str">
        <f aca="false">IF(A849="","",F849+O849+K849)</f>
        <v/>
      </c>
      <c r="Q849" s="36" t="str">
        <f aca="false">IF(A849="","",IF(P849-L849=M849,"OK","Divergente"))</f>
        <v/>
      </c>
    </row>
    <row r="850" customFormat="false" ht="15" hidden="false" customHeight="false" outlineLevel="0" collapsed="false">
      <c r="N850" s="34" t="str">
        <f aca="false">IF(D850="","",DATE(YEAR(D850),MONTH(D850),1))</f>
        <v/>
      </c>
      <c r="O850" s="35" t="str">
        <f aca="false">IF(A850="","",IF(ISNUMBER(I850),I850,0))</f>
        <v/>
      </c>
      <c r="P850" s="35" t="str">
        <f aca="false">IF(A850="","",F850+O850+K850)</f>
        <v/>
      </c>
      <c r="Q850" s="36" t="str">
        <f aca="false">IF(A850="","",IF(P850-L850=M850,"OK","Divergente"))</f>
        <v/>
      </c>
    </row>
    <row r="851" customFormat="false" ht="15" hidden="false" customHeight="false" outlineLevel="0" collapsed="false">
      <c r="N851" s="34" t="str">
        <f aca="false">IF(D851="","",DATE(YEAR(D851),MONTH(D851),1))</f>
        <v/>
      </c>
      <c r="O851" s="35" t="str">
        <f aca="false">IF(A851="","",IF(ISNUMBER(I851),I851,0))</f>
        <v/>
      </c>
      <c r="P851" s="35" t="str">
        <f aca="false">IF(A851="","",F851+O851+K851)</f>
        <v/>
      </c>
      <c r="Q851" s="36" t="str">
        <f aca="false">IF(A851="","",IF(P851-L851=M851,"OK","Divergente"))</f>
        <v/>
      </c>
    </row>
    <row r="852" customFormat="false" ht="15" hidden="false" customHeight="false" outlineLevel="0" collapsed="false">
      <c r="N852" s="34" t="str">
        <f aca="false">IF(D852="","",DATE(YEAR(D852),MONTH(D852),1))</f>
        <v/>
      </c>
      <c r="O852" s="35" t="str">
        <f aca="false">IF(A852="","",IF(ISNUMBER(I852),I852,0))</f>
        <v/>
      </c>
      <c r="P852" s="35" t="str">
        <f aca="false">IF(A852="","",F852+O852+K852)</f>
        <v/>
      </c>
      <c r="Q852" s="36" t="str">
        <f aca="false">IF(A852="","",IF(P852-L852=M852,"OK","Divergente"))</f>
        <v/>
      </c>
    </row>
    <row r="853" customFormat="false" ht="15" hidden="false" customHeight="false" outlineLevel="0" collapsed="false">
      <c r="N853" s="34" t="str">
        <f aca="false">IF(D853="","",DATE(YEAR(D853),MONTH(D853),1))</f>
        <v/>
      </c>
      <c r="O853" s="35" t="str">
        <f aca="false">IF(A853="","",IF(ISNUMBER(I853),I853,0))</f>
        <v/>
      </c>
      <c r="P853" s="35" t="str">
        <f aca="false">IF(A853="","",F853+O853+K853)</f>
        <v/>
      </c>
      <c r="Q853" s="36" t="str">
        <f aca="false">IF(A853="","",IF(P853-L853=M853,"OK","Divergente"))</f>
        <v/>
      </c>
    </row>
    <row r="854" customFormat="false" ht="15" hidden="false" customHeight="false" outlineLevel="0" collapsed="false">
      <c r="N854" s="34" t="str">
        <f aca="false">IF(D854="","",DATE(YEAR(D854),MONTH(D854),1))</f>
        <v/>
      </c>
      <c r="O854" s="35" t="str">
        <f aca="false">IF(A854="","",IF(ISNUMBER(I854),I854,0))</f>
        <v/>
      </c>
      <c r="P854" s="35" t="str">
        <f aca="false">IF(A854="","",F854+O854+K854)</f>
        <v/>
      </c>
      <c r="Q854" s="36" t="str">
        <f aca="false">IF(A854="","",IF(P854-L854=M854,"OK","Divergente"))</f>
        <v/>
      </c>
    </row>
    <row r="855" customFormat="false" ht="15" hidden="false" customHeight="false" outlineLevel="0" collapsed="false">
      <c r="N855" s="34" t="str">
        <f aca="false">IF(D855="","",DATE(YEAR(D855),MONTH(D855),1))</f>
        <v/>
      </c>
      <c r="O855" s="35" t="str">
        <f aca="false">IF(A855="","",IF(ISNUMBER(I855),I855,0))</f>
        <v/>
      </c>
      <c r="P855" s="35" t="str">
        <f aca="false">IF(A855="","",F855+O855+K855)</f>
        <v/>
      </c>
      <c r="Q855" s="36" t="str">
        <f aca="false">IF(A855="","",IF(P855-L855=M855,"OK","Divergente"))</f>
        <v/>
      </c>
    </row>
    <row r="856" customFormat="false" ht="15" hidden="false" customHeight="false" outlineLevel="0" collapsed="false">
      <c r="N856" s="34" t="str">
        <f aca="false">IF(D856="","",DATE(YEAR(D856),MONTH(D856),1))</f>
        <v/>
      </c>
      <c r="O856" s="35" t="str">
        <f aca="false">IF(A856="","",IF(ISNUMBER(I856),I856,0))</f>
        <v/>
      </c>
      <c r="P856" s="35" t="str">
        <f aca="false">IF(A856="","",F856+O856+K856)</f>
        <v/>
      </c>
      <c r="Q856" s="36" t="str">
        <f aca="false">IF(A856="","",IF(P856-L856=M856,"OK","Divergente"))</f>
        <v/>
      </c>
    </row>
    <row r="857" customFormat="false" ht="15" hidden="false" customHeight="false" outlineLevel="0" collapsed="false">
      <c r="N857" s="34" t="str">
        <f aca="false">IF(D857="","",DATE(YEAR(D857),MONTH(D857),1))</f>
        <v/>
      </c>
      <c r="O857" s="35" t="str">
        <f aca="false">IF(A857="","",IF(ISNUMBER(I857),I857,0))</f>
        <v/>
      </c>
      <c r="P857" s="35" t="str">
        <f aca="false">IF(A857="","",F857+O857+K857)</f>
        <v/>
      </c>
      <c r="Q857" s="36" t="str">
        <f aca="false">IF(A857="","",IF(P857-L857=M857,"OK","Divergente"))</f>
        <v/>
      </c>
    </row>
    <row r="858" customFormat="false" ht="15" hidden="false" customHeight="false" outlineLevel="0" collapsed="false">
      <c r="N858" s="34" t="str">
        <f aca="false">IF(D858="","",DATE(YEAR(D858),MONTH(D858),1))</f>
        <v/>
      </c>
      <c r="O858" s="35" t="str">
        <f aca="false">IF(A858="","",IF(ISNUMBER(I858),I858,0))</f>
        <v/>
      </c>
      <c r="P858" s="35" t="str">
        <f aca="false">IF(A858="","",F858+O858+K858)</f>
        <v/>
      </c>
      <c r="Q858" s="36" t="str">
        <f aca="false">IF(A858="","",IF(P858-L858=M858,"OK","Divergente"))</f>
        <v/>
      </c>
    </row>
    <row r="859" customFormat="false" ht="15" hidden="false" customHeight="false" outlineLevel="0" collapsed="false">
      <c r="N859" s="34" t="str">
        <f aca="false">IF(D859="","",DATE(YEAR(D859),MONTH(D859),1))</f>
        <v/>
      </c>
      <c r="O859" s="35" t="str">
        <f aca="false">IF(A859="","",IF(ISNUMBER(I859),I859,0))</f>
        <v/>
      </c>
      <c r="P859" s="35" t="str">
        <f aca="false">IF(A859="","",F859+O859+K859)</f>
        <v/>
      </c>
      <c r="Q859" s="36" t="str">
        <f aca="false">IF(A859="","",IF(P859-L859=M859,"OK","Divergente"))</f>
        <v/>
      </c>
    </row>
    <row r="860" customFormat="false" ht="15" hidden="false" customHeight="false" outlineLevel="0" collapsed="false">
      <c r="N860" s="34" t="str">
        <f aca="false">IF(D860="","",DATE(YEAR(D860),MONTH(D860),1))</f>
        <v/>
      </c>
      <c r="O860" s="35" t="str">
        <f aca="false">IF(A860="","",IF(ISNUMBER(I860),I860,0))</f>
        <v/>
      </c>
      <c r="P860" s="35" t="str">
        <f aca="false">IF(A860="","",F860+O860+K860)</f>
        <v/>
      </c>
      <c r="Q860" s="36" t="str">
        <f aca="false">IF(A860="","",IF(P860-L860=M860,"OK","Divergente"))</f>
        <v/>
      </c>
    </row>
    <row r="861" customFormat="false" ht="15" hidden="false" customHeight="false" outlineLevel="0" collapsed="false">
      <c r="N861" s="34" t="str">
        <f aca="false">IF(D861="","",DATE(YEAR(D861),MONTH(D861),1))</f>
        <v/>
      </c>
      <c r="O861" s="35" t="str">
        <f aca="false">IF(A861="","",IF(ISNUMBER(I861),I861,0))</f>
        <v/>
      </c>
      <c r="P861" s="35" t="str">
        <f aca="false">IF(A861="","",F861+O861+K861)</f>
        <v/>
      </c>
      <c r="Q861" s="36" t="str">
        <f aca="false">IF(A861="","",IF(P861-L861=M861,"OK","Divergente"))</f>
        <v/>
      </c>
    </row>
    <row r="862" customFormat="false" ht="15" hidden="false" customHeight="false" outlineLevel="0" collapsed="false">
      <c r="N862" s="34" t="str">
        <f aca="false">IF(D862="","",DATE(YEAR(D862),MONTH(D862),1))</f>
        <v/>
      </c>
      <c r="O862" s="35" t="str">
        <f aca="false">IF(A862="","",IF(ISNUMBER(I862),I862,0))</f>
        <v/>
      </c>
      <c r="P862" s="35" t="str">
        <f aca="false">IF(A862="","",F862+O862+K862)</f>
        <v/>
      </c>
      <c r="Q862" s="36" t="str">
        <f aca="false">IF(A862="","",IF(P862-L862=M862,"OK","Divergente"))</f>
        <v/>
      </c>
    </row>
    <row r="863" customFormat="false" ht="15" hidden="false" customHeight="false" outlineLevel="0" collapsed="false">
      <c r="N863" s="34" t="str">
        <f aca="false">IF(D863="","",DATE(YEAR(D863),MONTH(D863),1))</f>
        <v/>
      </c>
      <c r="O863" s="35" t="str">
        <f aca="false">IF(A863="","",IF(ISNUMBER(I863),I863,0))</f>
        <v/>
      </c>
      <c r="P863" s="35" t="str">
        <f aca="false">IF(A863="","",F863+O863+K863)</f>
        <v/>
      </c>
      <c r="Q863" s="36" t="str">
        <f aca="false">IF(A863="","",IF(P863-L863=M863,"OK","Divergente"))</f>
        <v/>
      </c>
    </row>
    <row r="864" customFormat="false" ht="15" hidden="false" customHeight="false" outlineLevel="0" collapsed="false">
      <c r="N864" s="34" t="str">
        <f aca="false">IF(D864="","",DATE(YEAR(D864),MONTH(D864),1))</f>
        <v/>
      </c>
      <c r="O864" s="35" t="str">
        <f aca="false">IF(A864="","",IF(ISNUMBER(I864),I864,0))</f>
        <v/>
      </c>
      <c r="P864" s="35" t="str">
        <f aca="false">IF(A864="","",F864+O864+K864)</f>
        <v/>
      </c>
      <c r="Q864" s="36" t="str">
        <f aca="false">IF(A864="","",IF(P864-L864=M864,"OK","Divergente"))</f>
        <v/>
      </c>
    </row>
    <row r="865" customFormat="false" ht="15" hidden="false" customHeight="false" outlineLevel="0" collapsed="false">
      <c r="N865" s="34" t="str">
        <f aca="false">IF(D865="","",DATE(YEAR(D865),MONTH(D865),1))</f>
        <v/>
      </c>
      <c r="O865" s="35" t="str">
        <f aca="false">IF(A865="","",IF(ISNUMBER(I865),I865,0))</f>
        <v/>
      </c>
      <c r="P865" s="35" t="str">
        <f aca="false">IF(A865="","",F865+O865+K865)</f>
        <v/>
      </c>
      <c r="Q865" s="36" t="str">
        <f aca="false">IF(A865="","",IF(P865-L865=M865,"OK","Divergente"))</f>
        <v/>
      </c>
    </row>
    <row r="866" customFormat="false" ht="15" hidden="false" customHeight="false" outlineLevel="0" collapsed="false">
      <c r="N866" s="34" t="str">
        <f aca="false">IF(D866="","",DATE(YEAR(D866),MONTH(D866),1))</f>
        <v/>
      </c>
      <c r="O866" s="35" t="str">
        <f aca="false">IF(A866="","",IF(ISNUMBER(I866),I866,0))</f>
        <v/>
      </c>
      <c r="P866" s="35" t="str">
        <f aca="false">IF(A866="","",F866+O866+K866)</f>
        <v/>
      </c>
      <c r="Q866" s="36" t="str">
        <f aca="false">IF(A866="","",IF(P866-L866=M866,"OK","Divergente"))</f>
        <v/>
      </c>
    </row>
    <row r="867" customFormat="false" ht="15" hidden="false" customHeight="false" outlineLevel="0" collapsed="false">
      <c r="N867" s="34" t="str">
        <f aca="false">IF(D867="","",DATE(YEAR(D867),MONTH(D867),1))</f>
        <v/>
      </c>
      <c r="O867" s="35" t="str">
        <f aca="false">IF(A867="","",IF(ISNUMBER(I867),I867,0))</f>
        <v/>
      </c>
      <c r="P867" s="35" t="str">
        <f aca="false">IF(A867="","",F867+O867+K867)</f>
        <v/>
      </c>
      <c r="Q867" s="36" t="str">
        <f aca="false">IF(A867="","",IF(P867-L867=M867,"OK","Divergente"))</f>
        <v/>
      </c>
    </row>
    <row r="868" customFormat="false" ht="15" hidden="false" customHeight="false" outlineLevel="0" collapsed="false">
      <c r="N868" s="34" t="str">
        <f aca="false">IF(D868="","",DATE(YEAR(D868),MONTH(D868),1))</f>
        <v/>
      </c>
      <c r="O868" s="35" t="str">
        <f aca="false">IF(A868="","",IF(ISNUMBER(I868),I868,0))</f>
        <v/>
      </c>
      <c r="P868" s="35" t="str">
        <f aca="false">IF(A868="","",F868+O868+K868)</f>
        <v/>
      </c>
      <c r="Q868" s="36" t="str">
        <f aca="false">IF(A868="","",IF(P868-L868=M868,"OK","Divergente"))</f>
        <v/>
      </c>
    </row>
    <row r="869" customFormat="false" ht="15" hidden="false" customHeight="false" outlineLevel="0" collapsed="false">
      <c r="N869" s="34" t="str">
        <f aca="false">IF(D869="","",DATE(YEAR(D869),MONTH(D869),1))</f>
        <v/>
      </c>
      <c r="O869" s="35" t="str">
        <f aca="false">IF(A869="","",IF(ISNUMBER(I869),I869,0))</f>
        <v/>
      </c>
      <c r="P869" s="35" t="str">
        <f aca="false">IF(A869="","",F869+O869+K869)</f>
        <v/>
      </c>
      <c r="Q869" s="36" t="str">
        <f aca="false">IF(A869="","",IF(P869-L869=M869,"OK","Divergente"))</f>
        <v/>
      </c>
    </row>
    <row r="870" customFormat="false" ht="15" hidden="false" customHeight="false" outlineLevel="0" collapsed="false">
      <c r="N870" s="34" t="str">
        <f aca="false">IF(D870="","",DATE(YEAR(D870),MONTH(D870),1))</f>
        <v/>
      </c>
      <c r="O870" s="35" t="str">
        <f aca="false">IF(A870="","",IF(ISNUMBER(I870),I870,0))</f>
        <v/>
      </c>
      <c r="P870" s="35" t="str">
        <f aca="false">IF(A870="","",F870+O870+K870)</f>
        <v/>
      </c>
      <c r="Q870" s="36" t="str">
        <f aca="false">IF(A870="","",IF(P870-L870=M870,"OK","Divergente"))</f>
        <v/>
      </c>
    </row>
    <row r="871" customFormat="false" ht="15" hidden="false" customHeight="false" outlineLevel="0" collapsed="false">
      <c r="N871" s="34" t="str">
        <f aca="false">IF(D871="","",DATE(YEAR(D871),MONTH(D871),1))</f>
        <v/>
      </c>
      <c r="O871" s="35" t="str">
        <f aca="false">IF(A871="","",IF(ISNUMBER(I871),I871,0))</f>
        <v/>
      </c>
      <c r="P871" s="35" t="str">
        <f aca="false">IF(A871="","",F871+O871+K871)</f>
        <v/>
      </c>
      <c r="Q871" s="36" t="str">
        <f aca="false">IF(A871="","",IF(P871-L871=M871,"OK","Divergente"))</f>
        <v/>
      </c>
    </row>
    <row r="872" customFormat="false" ht="15" hidden="false" customHeight="false" outlineLevel="0" collapsed="false">
      <c r="N872" s="34" t="str">
        <f aca="false">IF(D872="","",DATE(YEAR(D872),MONTH(D872),1))</f>
        <v/>
      </c>
      <c r="O872" s="35" t="str">
        <f aca="false">IF(A872="","",IF(ISNUMBER(I872),I872,0))</f>
        <v/>
      </c>
      <c r="P872" s="35" t="str">
        <f aca="false">IF(A872="","",F872+O872+K872)</f>
        <v/>
      </c>
      <c r="Q872" s="36" t="str">
        <f aca="false">IF(A872="","",IF(P872-L872=M872,"OK","Divergente"))</f>
        <v/>
      </c>
    </row>
    <row r="873" customFormat="false" ht="15" hidden="false" customHeight="false" outlineLevel="0" collapsed="false">
      <c r="N873" s="34" t="str">
        <f aca="false">IF(D873="","",DATE(YEAR(D873),MONTH(D873),1))</f>
        <v/>
      </c>
      <c r="O873" s="35" t="str">
        <f aca="false">IF(A873="","",IF(ISNUMBER(I873),I873,0))</f>
        <v/>
      </c>
      <c r="P873" s="35" t="str">
        <f aca="false">IF(A873="","",F873+O873+K873)</f>
        <v/>
      </c>
      <c r="Q873" s="36" t="str">
        <f aca="false">IF(A873="","",IF(P873-L873=M873,"OK","Divergente"))</f>
        <v/>
      </c>
    </row>
    <row r="874" customFormat="false" ht="15" hidden="false" customHeight="false" outlineLevel="0" collapsed="false">
      <c r="N874" s="34" t="str">
        <f aca="false">IF(D874="","",DATE(YEAR(D874),MONTH(D874),1))</f>
        <v/>
      </c>
      <c r="O874" s="35" t="str">
        <f aca="false">IF(A874="","",IF(ISNUMBER(I874),I874,0))</f>
        <v/>
      </c>
      <c r="P874" s="35" t="str">
        <f aca="false">IF(A874="","",F874+O874+K874)</f>
        <v/>
      </c>
      <c r="Q874" s="36" t="str">
        <f aca="false">IF(A874="","",IF(P874-L874=M874,"OK","Divergente"))</f>
        <v/>
      </c>
    </row>
    <row r="875" customFormat="false" ht="15" hidden="false" customHeight="false" outlineLevel="0" collapsed="false">
      <c r="N875" s="34" t="str">
        <f aca="false">IF(D875="","",DATE(YEAR(D875),MONTH(D875),1))</f>
        <v/>
      </c>
      <c r="O875" s="35" t="str">
        <f aca="false">IF(A875="","",IF(ISNUMBER(I875),I875,0))</f>
        <v/>
      </c>
      <c r="P875" s="35" t="str">
        <f aca="false">IF(A875="","",F875+O875+K875)</f>
        <v/>
      </c>
      <c r="Q875" s="36" t="str">
        <f aca="false">IF(A875="","",IF(P875-L875=M875,"OK","Divergente"))</f>
        <v/>
      </c>
    </row>
    <row r="876" customFormat="false" ht="15" hidden="false" customHeight="false" outlineLevel="0" collapsed="false">
      <c r="N876" s="34" t="str">
        <f aca="false">IF(D876="","",DATE(YEAR(D876),MONTH(D876),1))</f>
        <v/>
      </c>
      <c r="O876" s="35" t="str">
        <f aca="false">IF(A876="","",IF(ISNUMBER(I876),I876,0))</f>
        <v/>
      </c>
      <c r="P876" s="35" t="str">
        <f aca="false">IF(A876="","",F876+O876+K876)</f>
        <v/>
      </c>
      <c r="Q876" s="36" t="str">
        <f aca="false">IF(A876="","",IF(P876-L876=M876,"OK","Divergente"))</f>
        <v/>
      </c>
    </row>
    <row r="877" customFormat="false" ht="15" hidden="false" customHeight="false" outlineLevel="0" collapsed="false">
      <c r="N877" s="34" t="str">
        <f aca="false">IF(D877="","",DATE(YEAR(D877),MONTH(D877),1))</f>
        <v/>
      </c>
      <c r="O877" s="35" t="str">
        <f aca="false">IF(A877="","",IF(ISNUMBER(I877),I877,0))</f>
        <v/>
      </c>
      <c r="P877" s="35" t="str">
        <f aca="false">IF(A877="","",F877+O877+K877)</f>
        <v/>
      </c>
      <c r="Q877" s="36" t="str">
        <f aca="false">IF(A877="","",IF(P877-L877=M877,"OK","Divergente"))</f>
        <v/>
      </c>
    </row>
    <row r="878" customFormat="false" ht="15" hidden="false" customHeight="false" outlineLevel="0" collapsed="false">
      <c r="N878" s="34" t="str">
        <f aca="false">IF(D878="","",DATE(YEAR(D878),MONTH(D878),1))</f>
        <v/>
      </c>
      <c r="O878" s="35" t="str">
        <f aca="false">IF(A878="","",IF(ISNUMBER(I878),I878,0))</f>
        <v/>
      </c>
      <c r="P878" s="35" t="str">
        <f aca="false">IF(A878="","",F878+O878+K878)</f>
        <v/>
      </c>
      <c r="Q878" s="36" t="str">
        <f aca="false">IF(A878="","",IF(P878-L878=M878,"OK","Divergente"))</f>
        <v/>
      </c>
    </row>
    <row r="879" customFormat="false" ht="15" hidden="false" customHeight="false" outlineLevel="0" collapsed="false">
      <c r="N879" s="34" t="str">
        <f aca="false">IF(D879="","",DATE(YEAR(D879),MONTH(D879),1))</f>
        <v/>
      </c>
      <c r="O879" s="35" t="str">
        <f aca="false">IF(A879="","",IF(ISNUMBER(I879),I879,0))</f>
        <v/>
      </c>
      <c r="P879" s="35" t="str">
        <f aca="false">IF(A879="","",F879+O879+K879)</f>
        <v/>
      </c>
      <c r="Q879" s="36" t="str">
        <f aca="false">IF(A879="","",IF(P879-L879=M879,"OK","Divergente"))</f>
        <v/>
      </c>
    </row>
    <row r="880" customFormat="false" ht="15" hidden="false" customHeight="false" outlineLevel="0" collapsed="false">
      <c r="N880" s="34" t="str">
        <f aca="false">IF(D880="","",DATE(YEAR(D880),MONTH(D880),1))</f>
        <v/>
      </c>
      <c r="O880" s="35" t="str">
        <f aca="false">IF(A880="","",IF(ISNUMBER(I880),I880,0))</f>
        <v/>
      </c>
      <c r="P880" s="35" t="str">
        <f aca="false">IF(A880="","",F880+O880+K880)</f>
        <v/>
      </c>
      <c r="Q880" s="36" t="str">
        <f aca="false">IF(A880="","",IF(P880-L880=M880,"OK","Divergente"))</f>
        <v/>
      </c>
    </row>
    <row r="881" customFormat="false" ht="15" hidden="false" customHeight="false" outlineLevel="0" collapsed="false">
      <c r="N881" s="34" t="str">
        <f aca="false">IF(D881="","",DATE(YEAR(D881),MONTH(D881),1))</f>
        <v/>
      </c>
      <c r="O881" s="35" t="str">
        <f aca="false">IF(A881="","",IF(ISNUMBER(I881),I881,0))</f>
        <v/>
      </c>
      <c r="P881" s="35" t="str">
        <f aca="false">IF(A881="","",F881+O881+K881)</f>
        <v/>
      </c>
      <c r="Q881" s="36" t="str">
        <f aca="false">IF(A881="","",IF(P881-L881=M881,"OK","Divergente"))</f>
        <v/>
      </c>
    </row>
    <row r="882" customFormat="false" ht="15" hidden="false" customHeight="false" outlineLevel="0" collapsed="false">
      <c r="N882" s="34" t="str">
        <f aca="false">IF(D882="","",DATE(YEAR(D882),MONTH(D882),1))</f>
        <v/>
      </c>
      <c r="O882" s="35" t="str">
        <f aca="false">IF(A882="","",IF(ISNUMBER(I882),I882,0))</f>
        <v/>
      </c>
      <c r="P882" s="35" t="str">
        <f aca="false">IF(A882="","",F882+O882+K882)</f>
        <v/>
      </c>
      <c r="Q882" s="36" t="str">
        <f aca="false">IF(A882="","",IF(P882-L882=M882,"OK","Divergente"))</f>
        <v/>
      </c>
    </row>
    <row r="883" customFormat="false" ht="15" hidden="false" customHeight="false" outlineLevel="0" collapsed="false">
      <c r="N883" s="34" t="str">
        <f aca="false">IF(D883="","",DATE(YEAR(D883),MONTH(D883),1))</f>
        <v/>
      </c>
      <c r="O883" s="35" t="str">
        <f aca="false">IF(A883="","",IF(ISNUMBER(I883),I883,0))</f>
        <v/>
      </c>
      <c r="P883" s="35" t="str">
        <f aca="false">IF(A883="","",F883+O883+K883)</f>
        <v/>
      </c>
      <c r="Q883" s="36" t="str">
        <f aca="false">IF(A883="","",IF(P883-L883=M883,"OK","Divergente"))</f>
        <v/>
      </c>
    </row>
    <row r="884" customFormat="false" ht="15" hidden="false" customHeight="false" outlineLevel="0" collapsed="false">
      <c r="N884" s="34" t="str">
        <f aca="false">IF(D884="","",DATE(YEAR(D884),MONTH(D884),1))</f>
        <v/>
      </c>
      <c r="O884" s="35" t="str">
        <f aca="false">IF(A884="","",IF(ISNUMBER(I884),I884,0))</f>
        <v/>
      </c>
      <c r="P884" s="35" t="str">
        <f aca="false">IF(A884="","",F884+O884+K884)</f>
        <v/>
      </c>
      <c r="Q884" s="36" t="str">
        <f aca="false">IF(A884="","",IF(P884-L884=M884,"OK","Divergente"))</f>
        <v/>
      </c>
    </row>
    <row r="885" customFormat="false" ht="15" hidden="false" customHeight="false" outlineLevel="0" collapsed="false">
      <c r="N885" s="34" t="str">
        <f aca="false">IF(D885="","",DATE(YEAR(D885),MONTH(D885),1))</f>
        <v/>
      </c>
      <c r="O885" s="35" t="str">
        <f aca="false">IF(A885="","",IF(ISNUMBER(I885),I885,0))</f>
        <v/>
      </c>
      <c r="P885" s="35" t="str">
        <f aca="false">IF(A885="","",F885+O885+K885)</f>
        <v/>
      </c>
      <c r="Q885" s="36" t="str">
        <f aca="false">IF(A885="","",IF(P885-L885=M885,"OK","Divergente"))</f>
        <v/>
      </c>
    </row>
    <row r="886" customFormat="false" ht="15" hidden="false" customHeight="false" outlineLevel="0" collapsed="false">
      <c r="N886" s="34" t="str">
        <f aca="false">IF(D886="","",DATE(YEAR(D886),MONTH(D886),1))</f>
        <v/>
      </c>
      <c r="O886" s="35" t="str">
        <f aca="false">IF(A886="","",IF(ISNUMBER(I886),I886,0))</f>
        <v/>
      </c>
      <c r="P886" s="35" t="str">
        <f aca="false">IF(A886="","",F886+O886+K886)</f>
        <v/>
      </c>
      <c r="Q886" s="36" t="str">
        <f aca="false">IF(A886="","",IF(P886-L886=M886,"OK","Divergente"))</f>
        <v/>
      </c>
    </row>
    <row r="887" customFormat="false" ht="15" hidden="false" customHeight="false" outlineLevel="0" collapsed="false">
      <c r="N887" s="34" t="str">
        <f aca="false">IF(D887="","",DATE(YEAR(D887),MONTH(D887),1))</f>
        <v/>
      </c>
      <c r="O887" s="35" t="str">
        <f aca="false">IF(A887="","",IF(ISNUMBER(I887),I887,0))</f>
        <v/>
      </c>
      <c r="P887" s="35" t="str">
        <f aca="false">IF(A887="","",F887+O887+K887)</f>
        <v/>
      </c>
      <c r="Q887" s="36" t="str">
        <f aca="false">IF(A887="","",IF(P887-L887=M887,"OK","Divergente"))</f>
        <v/>
      </c>
    </row>
    <row r="888" customFormat="false" ht="15" hidden="false" customHeight="false" outlineLevel="0" collapsed="false">
      <c r="N888" s="34" t="str">
        <f aca="false">IF(D888="","",DATE(YEAR(D888),MONTH(D888),1))</f>
        <v/>
      </c>
      <c r="O888" s="35" t="str">
        <f aca="false">IF(A888="","",IF(ISNUMBER(I888),I888,0))</f>
        <v/>
      </c>
      <c r="P888" s="35" t="str">
        <f aca="false">IF(A888="","",F888+O888+K888)</f>
        <v/>
      </c>
      <c r="Q888" s="36" t="str">
        <f aca="false">IF(A888="","",IF(P888-L888=M888,"OK","Divergente"))</f>
        <v/>
      </c>
    </row>
    <row r="889" customFormat="false" ht="15" hidden="false" customHeight="false" outlineLevel="0" collapsed="false">
      <c r="N889" s="34" t="str">
        <f aca="false">IF(D889="","",DATE(YEAR(D889),MONTH(D889),1))</f>
        <v/>
      </c>
      <c r="O889" s="35" t="str">
        <f aca="false">IF(A889="","",IF(ISNUMBER(I889),I889,0))</f>
        <v/>
      </c>
      <c r="P889" s="35" t="str">
        <f aca="false">IF(A889="","",F889+O889+K889)</f>
        <v/>
      </c>
      <c r="Q889" s="36" t="str">
        <f aca="false">IF(A889="","",IF(P889-L889=M889,"OK","Divergente"))</f>
        <v/>
      </c>
    </row>
    <row r="890" customFormat="false" ht="15" hidden="false" customHeight="false" outlineLevel="0" collapsed="false">
      <c r="N890" s="34" t="str">
        <f aca="false">IF(D890="","",DATE(YEAR(D890),MONTH(D890),1))</f>
        <v/>
      </c>
      <c r="O890" s="35" t="str">
        <f aca="false">IF(A890="","",IF(ISNUMBER(I890),I890,0))</f>
        <v/>
      </c>
      <c r="P890" s="35" t="str">
        <f aca="false">IF(A890="","",F890+O890+K890)</f>
        <v/>
      </c>
      <c r="Q890" s="36" t="str">
        <f aca="false">IF(A890="","",IF(P890-L890=M890,"OK","Divergente"))</f>
        <v/>
      </c>
    </row>
    <row r="891" customFormat="false" ht="15" hidden="false" customHeight="false" outlineLevel="0" collapsed="false">
      <c r="N891" s="34" t="str">
        <f aca="false">IF(D891="","",DATE(YEAR(D891),MONTH(D891),1))</f>
        <v/>
      </c>
      <c r="O891" s="35" t="str">
        <f aca="false">IF(A891="","",IF(ISNUMBER(I891),I891,0))</f>
        <v/>
      </c>
      <c r="P891" s="35" t="str">
        <f aca="false">IF(A891="","",F891+O891+K891)</f>
        <v/>
      </c>
      <c r="Q891" s="36" t="str">
        <f aca="false">IF(A891="","",IF(P891-L891=M891,"OK","Divergente"))</f>
        <v/>
      </c>
    </row>
    <row r="892" customFormat="false" ht="15" hidden="false" customHeight="false" outlineLevel="0" collapsed="false">
      <c r="N892" s="34" t="str">
        <f aca="false">IF(D892="","",DATE(YEAR(D892),MONTH(D892),1))</f>
        <v/>
      </c>
      <c r="O892" s="35" t="str">
        <f aca="false">IF(A892="","",IF(ISNUMBER(I892),I892,0))</f>
        <v/>
      </c>
      <c r="P892" s="35" t="str">
        <f aca="false">IF(A892="","",F892+O892+K892)</f>
        <v/>
      </c>
      <c r="Q892" s="36" t="str">
        <f aca="false">IF(A892="","",IF(P892-L892=M892,"OK","Divergente"))</f>
        <v/>
      </c>
    </row>
    <row r="893" customFormat="false" ht="15" hidden="false" customHeight="false" outlineLevel="0" collapsed="false">
      <c r="N893" s="34" t="str">
        <f aca="false">IF(D893="","",DATE(YEAR(D893),MONTH(D893),1))</f>
        <v/>
      </c>
      <c r="O893" s="35" t="str">
        <f aca="false">IF(A893="","",IF(ISNUMBER(I893),I893,0))</f>
        <v/>
      </c>
      <c r="P893" s="35" t="str">
        <f aca="false">IF(A893="","",F893+O893+K893)</f>
        <v/>
      </c>
      <c r="Q893" s="36" t="str">
        <f aca="false">IF(A893="","",IF(P893-L893=M893,"OK","Divergente"))</f>
        <v/>
      </c>
    </row>
    <row r="894" customFormat="false" ht="15" hidden="false" customHeight="false" outlineLevel="0" collapsed="false">
      <c r="N894" s="34" t="str">
        <f aca="false">IF(D894="","",DATE(YEAR(D894),MONTH(D894),1))</f>
        <v/>
      </c>
      <c r="O894" s="35" t="str">
        <f aca="false">IF(A894="","",IF(ISNUMBER(I894),I894,0))</f>
        <v/>
      </c>
      <c r="P894" s="35" t="str">
        <f aca="false">IF(A894="","",F894+O894+K894)</f>
        <v/>
      </c>
      <c r="Q894" s="36" t="str">
        <f aca="false">IF(A894="","",IF(P894-L894=M894,"OK","Divergente"))</f>
        <v/>
      </c>
    </row>
    <row r="895" customFormat="false" ht="15" hidden="false" customHeight="false" outlineLevel="0" collapsed="false">
      <c r="N895" s="34" t="str">
        <f aca="false">IF(D895="","",DATE(YEAR(D895),MONTH(D895),1))</f>
        <v/>
      </c>
      <c r="O895" s="35" t="str">
        <f aca="false">IF(A895="","",IF(ISNUMBER(I895),I895,0))</f>
        <v/>
      </c>
      <c r="P895" s="35" t="str">
        <f aca="false">IF(A895="","",F895+O895+K895)</f>
        <v/>
      </c>
      <c r="Q895" s="36" t="str">
        <f aca="false">IF(A895="","",IF(P895-L895=M895,"OK","Divergente"))</f>
        <v/>
      </c>
    </row>
    <row r="896" customFormat="false" ht="15" hidden="false" customHeight="false" outlineLevel="0" collapsed="false">
      <c r="N896" s="34" t="str">
        <f aca="false">IF(D896="","",DATE(YEAR(D896),MONTH(D896),1))</f>
        <v/>
      </c>
      <c r="O896" s="35" t="str">
        <f aca="false">IF(A896="","",IF(ISNUMBER(I896),I896,0))</f>
        <v/>
      </c>
      <c r="P896" s="35" t="str">
        <f aca="false">IF(A896="","",F896+O896+K896)</f>
        <v/>
      </c>
      <c r="Q896" s="36" t="str">
        <f aca="false">IF(A896="","",IF(P896-L896=M896,"OK","Divergente"))</f>
        <v/>
      </c>
    </row>
    <row r="897" customFormat="false" ht="15" hidden="false" customHeight="false" outlineLevel="0" collapsed="false">
      <c r="N897" s="34" t="str">
        <f aca="false">IF(D897="","",DATE(YEAR(D897),MONTH(D897),1))</f>
        <v/>
      </c>
      <c r="O897" s="35" t="str">
        <f aca="false">IF(A897="","",IF(ISNUMBER(I897),I897,0))</f>
        <v/>
      </c>
      <c r="P897" s="35" t="str">
        <f aca="false">IF(A897="","",F897+O897+K897)</f>
        <v/>
      </c>
      <c r="Q897" s="36" t="str">
        <f aca="false">IF(A897="","",IF(P897-L897=M897,"OK","Divergente"))</f>
        <v/>
      </c>
    </row>
    <row r="898" customFormat="false" ht="15" hidden="false" customHeight="false" outlineLevel="0" collapsed="false">
      <c r="N898" s="34" t="str">
        <f aca="false">IF(D898="","",DATE(YEAR(D898),MONTH(D898),1))</f>
        <v/>
      </c>
      <c r="O898" s="35" t="str">
        <f aca="false">IF(A898="","",IF(ISNUMBER(I898),I898,0))</f>
        <v/>
      </c>
      <c r="P898" s="35" t="str">
        <f aca="false">IF(A898="","",F898+O898+K898)</f>
        <v/>
      </c>
      <c r="Q898" s="36" t="str">
        <f aca="false">IF(A898="","",IF(P898-L898=M898,"OK","Divergente"))</f>
        <v/>
      </c>
    </row>
    <row r="899" customFormat="false" ht="15" hidden="false" customHeight="false" outlineLevel="0" collapsed="false">
      <c r="N899" s="34" t="str">
        <f aca="false">IF(D899="","",DATE(YEAR(D899),MONTH(D899),1))</f>
        <v/>
      </c>
      <c r="O899" s="35" t="str">
        <f aca="false">IF(A899="","",IF(ISNUMBER(I899),I899,0))</f>
        <v/>
      </c>
      <c r="P899" s="35" t="str">
        <f aca="false">IF(A899="","",F899+O899+K899)</f>
        <v/>
      </c>
      <c r="Q899" s="36" t="str">
        <f aca="false">IF(A899="","",IF(P899-L899=M899,"OK","Divergente"))</f>
        <v/>
      </c>
    </row>
    <row r="900" customFormat="false" ht="15" hidden="false" customHeight="false" outlineLevel="0" collapsed="false">
      <c r="N900" s="34" t="str">
        <f aca="false">IF(D900="","",DATE(YEAR(D900),MONTH(D900),1))</f>
        <v/>
      </c>
      <c r="O900" s="35" t="str">
        <f aca="false">IF(A900="","",IF(ISNUMBER(I900),I900,0))</f>
        <v/>
      </c>
      <c r="P900" s="35" t="str">
        <f aca="false">IF(A900="","",F900+O900+K900)</f>
        <v/>
      </c>
      <c r="Q900" s="36" t="str">
        <f aca="false">IF(A900="","",IF(P900-L900=M900,"OK","Divergente"))</f>
        <v/>
      </c>
    </row>
    <row r="901" customFormat="false" ht="15" hidden="false" customHeight="false" outlineLevel="0" collapsed="false">
      <c r="N901" s="34" t="str">
        <f aca="false">IF(D901="","",DATE(YEAR(D901),MONTH(D901),1))</f>
        <v/>
      </c>
      <c r="O901" s="35" t="str">
        <f aca="false">IF(A901="","",IF(ISNUMBER(I901),I901,0))</f>
        <v/>
      </c>
      <c r="P901" s="35" t="str">
        <f aca="false">IF(A901="","",F901+O901+K901)</f>
        <v/>
      </c>
      <c r="Q901" s="36" t="str">
        <f aca="false">IF(A901="","",IF(P901-L901=M901,"OK","Divergente"))</f>
        <v/>
      </c>
    </row>
    <row r="902" customFormat="false" ht="15" hidden="false" customHeight="false" outlineLevel="0" collapsed="false">
      <c r="N902" s="34" t="str">
        <f aca="false">IF(D902="","",DATE(YEAR(D902),MONTH(D902),1))</f>
        <v/>
      </c>
      <c r="O902" s="35" t="str">
        <f aca="false">IF(A902="","",IF(ISNUMBER(I902),I902,0))</f>
        <v/>
      </c>
      <c r="P902" s="35" t="str">
        <f aca="false">IF(A902="","",F902+O902+K902)</f>
        <v/>
      </c>
      <c r="Q902" s="36" t="str">
        <f aca="false">IF(A902="","",IF(P902-L902=M902,"OK","Divergente"))</f>
        <v/>
      </c>
    </row>
    <row r="903" customFormat="false" ht="15" hidden="false" customHeight="false" outlineLevel="0" collapsed="false">
      <c r="N903" s="34" t="str">
        <f aca="false">IF(D903="","",DATE(YEAR(D903),MONTH(D903),1))</f>
        <v/>
      </c>
      <c r="O903" s="35" t="str">
        <f aca="false">IF(A903="","",IF(ISNUMBER(I903),I903,0))</f>
        <v/>
      </c>
      <c r="P903" s="35" t="str">
        <f aca="false">IF(A903="","",F903+O903+K903)</f>
        <v/>
      </c>
      <c r="Q903" s="36" t="str">
        <f aca="false">IF(A903="","",IF(P903-L903=M903,"OK","Divergente"))</f>
        <v/>
      </c>
    </row>
    <row r="904" customFormat="false" ht="15" hidden="false" customHeight="false" outlineLevel="0" collapsed="false">
      <c r="N904" s="34" t="str">
        <f aca="false">IF(D904="","",DATE(YEAR(D904),MONTH(D904),1))</f>
        <v/>
      </c>
      <c r="O904" s="35" t="str">
        <f aca="false">IF(A904="","",IF(ISNUMBER(I904),I904,0))</f>
        <v/>
      </c>
      <c r="P904" s="35" t="str">
        <f aca="false">IF(A904="","",F904+O904+K904)</f>
        <v/>
      </c>
      <c r="Q904" s="36" t="str">
        <f aca="false">IF(A904="","",IF(P904-L904=M904,"OK","Divergente"))</f>
        <v/>
      </c>
    </row>
    <row r="905" customFormat="false" ht="15" hidden="false" customHeight="false" outlineLevel="0" collapsed="false">
      <c r="N905" s="34" t="str">
        <f aca="false">IF(D905="","",DATE(YEAR(D905),MONTH(D905),1))</f>
        <v/>
      </c>
      <c r="O905" s="35" t="str">
        <f aca="false">IF(A905="","",IF(ISNUMBER(I905),I905,0))</f>
        <v/>
      </c>
      <c r="P905" s="35" t="str">
        <f aca="false">IF(A905="","",F905+O905+K905)</f>
        <v/>
      </c>
      <c r="Q905" s="36" t="str">
        <f aca="false">IF(A905="","",IF(P905-L905=M905,"OK","Divergente"))</f>
        <v/>
      </c>
    </row>
    <row r="906" customFormat="false" ht="15" hidden="false" customHeight="false" outlineLevel="0" collapsed="false">
      <c r="N906" s="34" t="str">
        <f aca="false">IF(D906="","",DATE(YEAR(D906),MONTH(D906),1))</f>
        <v/>
      </c>
      <c r="O906" s="35" t="str">
        <f aca="false">IF(A906="","",IF(ISNUMBER(I906),I906,0))</f>
        <v/>
      </c>
      <c r="P906" s="35" t="str">
        <f aca="false">IF(A906="","",F906+O906+K906)</f>
        <v/>
      </c>
      <c r="Q906" s="36" t="str">
        <f aca="false">IF(A906="","",IF(P906-L906=M906,"OK","Divergente"))</f>
        <v/>
      </c>
    </row>
    <row r="907" customFormat="false" ht="15" hidden="false" customHeight="false" outlineLevel="0" collapsed="false">
      <c r="N907" s="34" t="str">
        <f aca="false">IF(D907="","",DATE(YEAR(D907),MONTH(D907),1))</f>
        <v/>
      </c>
      <c r="O907" s="35" t="str">
        <f aca="false">IF(A907="","",IF(ISNUMBER(I907),I907,0))</f>
        <v/>
      </c>
      <c r="P907" s="35" t="str">
        <f aca="false">IF(A907="","",F907+O907+K907)</f>
        <v/>
      </c>
      <c r="Q907" s="36" t="str">
        <f aca="false">IF(A907="","",IF(P907-L907=M907,"OK","Divergente"))</f>
        <v/>
      </c>
    </row>
    <row r="908" customFormat="false" ht="15" hidden="false" customHeight="false" outlineLevel="0" collapsed="false">
      <c r="N908" s="34" t="str">
        <f aca="false">IF(D908="","",DATE(YEAR(D908),MONTH(D908),1))</f>
        <v/>
      </c>
      <c r="O908" s="35" t="str">
        <f aca="false">IF(A908="","",IF(ISNUMBER(I908),I908,0))</f>
        <v/>
      </c>
      <c r="P908" s="35" t="str">
        <f aca="false">IF(A908="","",F908+O908+K908)</f>
        <v/>
      </c>
      <c r="Q908" s="36" t="str">
        <f aca="false">IF(A908="","",IF(P908-L908=M908,"OK","Divergente"))</f>
        <v/>
      </c>
    </row>
    <row r="909" customFormat="false" ht="15" hidden="false" customHeight="false" outlineLevel="0" collapsed="false">
      <c r="N909" s="34" t="str">
        <f aca="false">IF(D909="","",DATE(YEAR(D909),MONTH(D909),1))</f>
        <v/>
      </c>
      <c r="O909" s="35" t="str">
        <f aca="false">IF(A909="","",IF(ISNUMBER(I909),I909,0))</f>
        <v/>
      </c>
      <c r="P909" s="35" t="str">
        <f aca="false">IF(A909="","",F909+O909+K909)</f>
        <v/>
      </c>
      <c r="Q909" s="36" t="str">
        <f aca="false">IF(A909="","",IF(P909-L909=M909,"OK","Divergente"))</f>
        <v/>
      </c>
    </row>
    <row r="910" customFormat="false" ht="15" hidden="false" customHeight="false" outlineLevel="0" collapsed="false">
      <c r="N910" s="34" t="str">
        <f aca="false">IF(D910="","",DATE(YEAR(D910),MONTH(D910),1))</f>
        <v/>
      </c>
      <c r="O910" s="35" t="str">
        <f aca="false">IF(A910="","",IF(ISNUMBER(I910),I910,0))</f>
        <v/>
      </c>
      <c r="P910" s="35" t="str">
        <f aca="false">IF(A910="","",F910+O910+K910)</f>
        <v/>
      </c>
      <c r="Q910" s="36" t="str">
        <f aca="false">IF(A910="","",IF(P910-L910=M910,"OK","Divergente"))</f>
        <v/>
      </c>
    </row>
    <row r="911" customFormat="false" ht="15" hidden="false" customHeight="false" outlineLevel="0" collapsed="false">
      <c r="N911" s="34" t="str">
        <f aca="false">IF(D911="","",DATE(YEAR(D911),MONTH(D911),1))</f>
        <v/>
      </c>
      <c r="O911" s="35" t="str">
        <f aca="false">IF(A911="","",IF(ISNUMBER(I911),I911,0))</f>
        <v/>
      </c>
      <c r="P911" s="35" t="str">
        <f aca="false">IF(A911="","",F911+O911+K911)</f>
        <v/>
      </c>
      <c r="Q911" s="36" t="str">
        <f aca="false">IF(A911="","",IF(P911-L911=M911,"OK","Divergente"))</f>
        <v/>
      </c>
    </row>
    <row r="912" customFormat="false" ht="15" hidden="false" customHeight="false" outlineLevel="0" collapsed="false">
      <c r="N912" s="34" t="str">
        <f aca="false">IF(D912="","",DATE(YEAR(D912),MONTH(D912),1))</f>
        <v/>
      </c>
      <c r="O912" s="35" t="str">
        <f aca="false">IF(A912="","",IF(ISNUMBER(I912),I912,0))</f>
        <v/>
      </c>
      <c r="P912" s="35" t="str">
        <f aca="false">IF(A912="","",F912+O912+K912)</f>
        <v/>
      </c>
      <c r="Q912" s="36" t="str">
        <f aca="false">IF(A912="","",IF(P912-L912=M912,"OK","Divergente"))</f>
        <v/>
      </c>
    </row>
    <row r="913" customFormat="false" ht="15" hidden="false" customHeight="false" outlineLevel="0" collapsed="false">
      <c r="N913" s="34" t="str">
        <f aca="false">IF(D913="","",DATE(YEAR(D913),MONTH(D913),1))</f>
        <v/>
      </c>
      <c r="O913" s="35" t="str">
        <f aca="false">IF(A913="","",IF(ISNUMBER(I913),I913,0))</f>
        <v/>
      </c>
      <c r="P913" s="35" t="str">
        <f aca="false">IF(A913="","",F913+O913+K913)</f>
        <v/>
      </c>
      <c r="Q913" s="36" t="str">
        <f aca="false">IF(A913="","",IF(P913-L913=M913,"OK","Divergente"))</f>
        <v/>
      </c>
    </row>
    <row r="914" customFormat="false" ht="15" hidden="false" customHeight="false" outlineLevel="0" collapsed="false">
      <c r="N914" s="34" t="str">
        <f aca="false">IF(D914="","",DATE(YEAR(D914),MONTH(D914),1))</f>
        <v/>
      </c>
      <c r="O914" s="35" t="str">
        <f aca="false">IF(A914="","",IF(ISNUMBER(I914),I914,0))</f>
        <v/>
      </c>
      <c r="P914" s="35" t="str">
        <f aca="false">IF(A914="","",F914+O914+K914)</f>
        <v/>
      </c>
      <c r="Q914" s="36" t="str">
        <f aca="false">IF(A914="","",IF(P914-L914=M914,"OK","Divergente"))</f>
        <v/>
      </c>
    </row>
    <row r="915" customFormat="false" ht="15" hidden="false" customHeight="false" outlineLevel="0" collapsed="false">
      <c r="N915" s="34" t="str">
        <f aca="false">IF(D915="","",DATE(YEAR(D915),MONTH(D915),1))</f>
        <v/>
      </c>
      <c r="O915" s="35" t="str">
        <f aca="false">IF(A915="","",IF(ISNUMBER(I915),I915,0))</f>
        <v/>
      </c>
      <c r="P915" s="35" t="str">
        <f aca="false">IF(A915="","",F915+O915+K915)</f>
        <v/>
      </c>
      <c r="Q915" s="36" t="str">
        <f aca="false">IF(A915="","",IF(P915-L915=M915,"OK","Divergente"))</f>
        <v/>
      </c>
    </row>
    <row r="916" customFormat="false" ht="15" hidden="false" customHeight="false" outlineLevel="0" collapsed="false">
      <c r="N916" s="34" t="str">
        <f aca="false">IF(D916="","",DATE(YEAR(D916),MONTH(D916),1))</f>
        <v/>
      </c>
      <c r="O916" s="35" t="str">
        <f aca="false">IF(A916="","",IF(ISNUMBER(I916),I916,0))</f>
        <v/>
      </c>
      <c r="P916" s="35" t="str">
        <f aca="false">IF(A916="","",F916+O916+K916)</f>
        <v/>
      </c>
      <c r="Q916" s="36" t="str">
        <f aca="false">IF(A916="","",IF(P916-L916=M916,"OK","Divergente"))</f>
        <v/>
      </c>
    </row>
    <row r="917" customFormat="false" ht="15" hidden="false" customHeight="false" outlineLevel="0" collapsed="false">
      <c r="N917" s="34" t="str">
        <f aca="false">IF(D917="","",DATE(YEAR(D917),MONTH(D917),1))</f>
        <v/>
      </c>
      <c r="O917" s="35" t="str">
        <f aca="false">IF(A917="","",IF(ISNUMBER(I917),I917,0))</f>
        <v/>
      </c>
      <c r="P917" s="35" t="str">
        <f aca="false">IF(A917="","",F917+O917+K917)</f>
        <v/>
      </c>
      <c r="Q917" s="36" t="str">
        <f aca="false">IF(A917="","",IF(P917-L917=M917,"OK","Divergente"))</f>
        <v/>
      </c>
    </row>
    <row r="918" customFormat="false" ht="15" hidden="false" customHeight="false" outlineLevel="0" collapsed="false">
      <c r="N918" s="34" t="str">
        <f aca="false">IF(D918="","",DATE(YEAR(D918),MONTH(D918),1))</f>
        <v/>
      </c>
      <c r="O918" s="35" t="str">
        <f aca="false">IF(A918="","",IF(ISNUMBER(I918),I918,0))</f>
        <v/>
      </c>
      <c r="P918" s="35" t="str">
        <f aca="false">IF(A918="","",F918+O918+K918)</f>
        <v/>
      </c>
      <c r="Q918" s="36" t="str">
        <f aca="false">IF(A918="","",IF(P918-L918=M918,"OK","Divergente"))</f>
        <v/>
      </c>
    </row>
    <row r="919" customFormat="false" ht="15" hidden="false" customHeight="false" outlineLevel="0" collapsed="false">
      <c r="N919" s="34" t="str">
        <f aca="false">IF(D919="","",DATE(YEAR(D919),MONTH(D919),1))</f>
        <v/>
      </c>
      <c r="O919" s="35" t="str">
        <f aca="false">IF(A919="","",IF(ISNUMBER(I919),I919,0))</f>
        <v/>
      </c>
      <c r="P919" s="35" t="str">
        <f aca="false">IF(A919="","",F919+O919+K919)</f>
        <v/>
      </c>
      <c r="Q919" s="36" t="str">
        <f aca="false">IF(A919="","",IF(P919-L919=M919,"OK","Divergente"))</f>
        <v/>
      </c>
    </row>
    <row r="920" customFormat="false" ht="15" hidden="false" customHeight="false" outlineLevel="0" collapsed="false">
      <c r="N920" s="34" t="str">
        <f aca="false">IF(D920="","",DATE(YEAR(D920),MONTH(D920),1))</f>
        <v/>
      </c>
      <c r="O920" s="35" t="str">
        <f aca="false">IF(A920="","",IF(ISNUMBER(I920),I920,0))</f>
        <v/>
      </c>
      <c r="P920" s="35" t="str">
        <f aca="false">IF(A920="","",F920+O920+K920)</f>
        <v/>
      </c>
      <c r="Q920" s="36" t="str">
        <f aca="false">IF(A920="","",IF(P920-L920=M920,"OK","Divergente"))</f>
        <v/>
      </c>
    </row>
    <row r="921" customFormat="false" ht="15" hidden="false" customHeight="false" outlineLevel="0" collapsed="false">
      <c r="N921" s="34" t="str">
        <f aca="false">IF(D921="","",DATE(YEAR(D921),MONTH(D921),1))</f>
        <v/>
      </c>
      <c r="O921" s="35" t="str">
        <f aca="false">IF(A921="","",IF(ISNUMBER(I921),I921,0))</f>
        <v/>
      </c>
      <c r="P921" s="35" t="str">
        <f aca="false">IF(A921="","",F921+O921+K921)</f>
        <v/>
      </c>
      <c r="Q921" s="36" t="str">
        <f aca="false">IF(A921="","",IF(P921-L921=M921,"OK","Divergente"))</f>
        <v/>
      </c>
    </row>
    <row r="922" customFormat="false" ht="15" hidden="false" customHeight="false" outlineLevel="0" collapsed="false">
      <c r="N922" s="34" t="str">
        <f aca="false">IF(D922="","",DATE(YEAR(D922),MONTH(D922),1))</f>
        <v/>
      </c>
      <c r="O922" s="35" t="str">
        <f aca="false">IF(A922="","",IF(ISNUMBER(I922),I922,0))</f>
        <v/>
      </c>
      <c r="P922" s="35" t="str">
        <f aca="false">IF(A922="","",F922+O922+K922)</f>
        <v/>
      </c>
      <c r="Q922" s="36" t="str">
        <f aca="false">IF(A922="","",IF(P922-L922=M922,"OK","Divergente"))</f>
        <v/>
      </c>
    </row>
    <row r="923" customFormat="false" ht="15" hidden="false" customHeight="false" outlineLevel="0" collapsed="false">
      <c r="N923" s="34" t="str">
        <f aca="false">IF(D923="","",DATE(YEAR(D923),MONTH(D923),1))</f>
        <v/>
      </c>
      <c r="O923" s="35" t="str">
        <f aca="false">IF(A923="","",IF(ISNUMBER(I923),I923,0))</f>
        <v/>
      </c>
      <c r="P923" s="35" t="str">
        <f aca="false">IF(A923="","",F923+O923+K923)</f>
        <v/>
      </c>
      <c r="Q923" s="36" t="str">
        <f aca="false">IF(A923="","",IF(P923-L923=M923,"OK","Divergente"))</f>
        <v/>
      </c>
    </row>
    <row r="924" customFormat="false" ht="15" hidden="false" customHeight="false" outlineLevel="0" collapsed="false">
      <c r="N924" s="34" t="str">
        <f aca="false">IF(D924="","",DATE(YEAR(D924),MONTH(D924),1))</f>
        <v/>
      </c>
      <c r="O924" s="35" t="str">
        <f aca="false">IF(A924="","",IF(ISNUMBER(I924),I924,0))</f>
        <v/>
      </c>
      <c r="P924" s="35" t="str">
        <f aca="false">IF(A924="","",F924+O924+K924)</f>
        <v/>
      </c>
      <c r="Q924" s="36" t="str">
        <f aca="false">IF(A924="","",IF(P924-L924=M924,"OK","Divergente"))</f>
        <v/>
      </c>
    </row>
    <row r="925" customFormat="false" ht="15" hidden="false" customHeight="false" outlineLevel="0" collapsed="false">
      <c r="N925" s="34" t="str">
        <f aca="false">IF(D925="","",DATE(YEAR(D925),MONTH(D925),1))</f>
        <v/>
      </c>
      <c r="O925" s="35" t="str">
        <f aca="false">IF(A925="","",IF(ISNUMBER(I925),I925,0))</f>
        <v/>
      </c>
      <c r="P925" s="35" t="str">
        <f aca="false">IF(A925="","",F925+O925+K925)</f>
        <v/>
      </c>
      <c r="Q925" s="36" t="str">
        <f aca="false">IF(A925="","",IF(P925-L925=M925,"OK","Divergente"))</f>
        <v/>
      </c>
    </row>
    <row r="926" customFormat="false" ht="15" hidden="false" customHeight="false" outlineLevel="0" collapsed="false">
      <c r="N926" s="34" t="str">
        <f aca="false">IF(D926="","",DATE(YEAR(D926),MONTH(D926),1))</f>
        <v/>
      </c>
      <c r="O926" s="35" t="str">
        <f aca="false">IF(A926="","",IF(ISNUMBER(I926),I926,0))</f>
        <v/>
      </c>
      <c r="P926" s="35" t="str">
        <f aca="false">IF(A926="","",F926+O926+K926)</f>
        <v/>
      </c>
      <c r="Q926" s="36" t="str">
        <f aca="false">IF(A926="","",IF(P926-L926=M926,"OK","Divergente"))</f>
        <v/>
      </c>
    </row>
    <row r="927" customFormat="false" ht="15" hidden="false" customHeight="false" outlineLevel="0" collapsed="false">
      <c r="N927" s="34" t="str">
        <f aca="false">IF(D927="","",DATE(YEAR(D927),MONTH(D927),1))</f>
        <v/>
      </c>
      <c r="O927" s="35" t="str">
        <f aca="false">IF(A927="","",IF(ISNUMBER(I927),I927,0))</f>
        <v/>
      </c>
      <c r="P927" s="35" t="str">
        <f aca="false">IF(A927="","",F927+O927+K927)</f>
        <v/>
      </c>
      <c r="Q927" s="36" t="str">
        <f aca="false">IF(A927="","",IF(P927-L927=M927,"OK","Divergente"))</f>
        <v/>
      </c>
    </row>
    <row r="928" customFormat="false" ht="15" hidden="false" customHeight="false" outlineLevel="0" collapsed="false">
      <c r="N928" s="34" t="str">
        <f aca="false">IF(D928="","",DATE(YEAR(D928),MONTH(D928),1))</f>
        <v/>
      </c>
      <c r="O928" s="35" t="str">
        <f aca="false">IF(A928="","",IF(ISNUMBER(I928),I928,0))</f>
        <v/>
      </c>
      <c r="P928" s="35" t="str">
        <f aca="false">IF(A928="","",F928+O928+K928)</f>
        <v/>
      </c>
      <c r="Q928" s="36" t="str">
        <f aca="false">IF(A928="","",IF(P928-L928=M928,"OK","Divergente"))</f>
        <v/>
      </c>
    </row>
    <row r="929" customFormat="false" ht="15" hidden="false" customHeight="false" outlineLevel="0" collapsed="false">
      <c r="N929" s="34" t="str">
        <f aca="false">IF(D929="","",DATE(YEAR(D929),MONTH(D929),1))</f>
        <v/>
      </c>
      <c r="O929" s="35" t="str">
        <f aca="false">IF(A929="","",IF(ISNUMBER(I929),I929,0))</f>
        <v/>
      </c>
      <c r="P929" s="35" t="str">
        <f aca="false">IF(A929="","",F929+O929+K929)</f>
        <v/>
      </c>
      <c r="Q929" s="36" t="str">
        <f aca="false">IF(A929="","",IF(P929-L929=M929,"OK","Divergente"))</f>
        <v/>
      </c>
    </row>
    <row r="930" customFormat="false" ht="15" hidden="false" customHeight="false" outlineLevel="0" collapsed="false">
      <c r="N930" s="34" t="str">
        <f aca="false">IF(D930="","",DATE(YEAR(D930),MONTH(D930),1))</f>
        <v/>
      </c>
      <c r="O930" s="35" t="str">
        <f aca="false">IF(A930="","",IF(ISNUMBER(I930),I930,0))</f>
        <v/>
      </c>
      <c r="P930" s="35" t="str">
        <f aca="false">IF(A930="","",F930+O930+K930)</f>
        <v/>
      </c>
      <c r="Q930" s="36" t="str">
        <f aca="false">IF(A930="","",IF(P930-L930=M930,"OK","Divergente"))</f>
        <v/>
      </c>
    </row>
    <row r="931" customFormat="false" ht="15" hidden="false" customHeight="false" outlineLevel="0" collapsed="false">
      <c r="N931" s="34" t="str">
        <f aca="false">IF(D931="","",DATE(YEAR(D931),MONTH(D931),1))</f>
        <v/>
      </c>
      <c r="O931" s="35" t="str">
        <f aca="false">IF(A931="","",IF(ISNUMBER(I931),I931,0))</f>
        <v/>
      </c>
      <c r="P931" s="35" t="str">
        <f aca="false">IF(A931="","",F931+O931+K931)</f>
        <v/>
      </c>
      <c r="Q931" s="36" t="str">
        <f aca="false">IF(A931="","",IF(P931-L931=M931,"OK","Divergente"))</f>
        <v/>
      </c>
    </row>
    <row r="932" customFormat="false" ht="15" hidden="false" customHeight="false" outlineLevel="0" collapsed="false">
      <c r="N932" s="34" t="str">
        <f aca="false">IF(D932="","",DATE(YEAR(D932),MONTH(D932),1))</f>
        <v/>
      </c>
      <c r="O932" s="35" t="str">
        <f aca="false">IF(A932="","",IF(ISNUMBER(I932),I932,0))</f>
        <v/>
      </c>
      <c r="P932" s="35" t="str">
        <f aca="false">IF(A932="","",F932+O932+K932)</f>
        <v/>
      </c>
      <c r="Q932" s="36" t="str">
        <f aca="false">IF(A932="","",IF(P932-L932=M932,"OK","Divergente"))</f>
        <v/>
      </c>
    </row>
    <row r="933" customFormat="false" ht="15" hidden="false" customHeight="false" outlineLevel="0" collapsed="false">
      <c r="N933" s="34" t="str">
        <f aca="false">IF(D933="","",DATE(YEAR(D933),MONTH(D933),1))</f>
        <v/>
      </c>
      <c r="O933" s="35" t="str">
        <f aca="false">IF(A933="","",IF(ISNUMBER(I933),I933,0))</f>
        <v/>
      </c>
      <c r="P933" s="35" t="str">
        <f aca="false">IF(A933="","",F933+O933+K933)</f>
        <v/>
      </c>
      <c r="Q933" s="36" t="str">
        <f aca="false">IF(A933="","",IF(P933-L933=M933,"OK","Divergente"))</f>
        <v/>
      </c>
    </row>
    <row r="934" customFormat="false" ht="15" hidden="false" customHeight="false" outlineLevel="0" collapsed="false">
      <c r="N934" s="34" t="str">
        <f aca="false">IF(D934="","",DATE(YEAR(D934),MONTH(D934),1))</f>
        <v/>
      </c>
      <c r="O934" s="35" t="str">
        <f aca="false">IF(A934="","",IF(ISNUMBER(I934),I934,0))</f>
        <v/>
      </c>
      <c r="P934" s="35" t="str">
        <f aca="false">IF(A934="","",F934+O934+K934)</f>
        <v/>
      </c>
      <c r="Q934" s="36" t="str">
        <f aca="false">IF(A934="","",IF(P934-L934=M934,"OK","Divergente"))</f>
        <v/>
      </c>
    </row>
    <row r="935" customFormat="false" ht="15" hidden="false" customHeight="false" outlineLevel="0" collapsed="false">
      <c r="N935" s="34" t="str">
        <f aca="false">IF(D935="","",DATE(YEAR(D935),MONTH(D935),1))</f>
        <v/>
      </c>
      <c r="O935" s="35" t="str">
        <f aca="false">IF(A935="","",IF(ISNUMBER(I935),I935,0))</f>
        <v/>
      </c>
      <c r="P935" s="35" t="str">
        <f aca="false">IF(A935="","",F935+O935+K935)</f>
        <v/>
      </c>
      <c r="Q935" s="36" t="str">
        <f aca="false">IF(A935="","",IF(P935-L935=M935,"OK","Divergente"))</f>
        <v/>
      </c>
    </row>
    <row r="936" customFormat="false" ht="15" hidden="false" customHeight="false" outlineLevel="0" collapsed="false">
      <c r="N936" s="34" t="str">
        <f aca="false">IF(D936="","",DATE(YEAR(D936),MONTH(D936),1))</f>
        <v/>
      </c>
      <c r="O936" s="35" t="str">
        <f aca="false">IF(A936="","",IF(ISNUMBER(I936),I936,0))</f>
        <v/>
      </c>
      <c r="P936" s="35" t="str">
        <f aca="false">IF(A936="","",F936+O936+K936)</f>
        <v/>
      </c>
      <c r="Q936" s="36" t="str">
        <f aca="false">IF(A936="","",IF(P936-L936=M936,"OK","Divergente"))</f>
        <v/>
      </c>
    </row>
    <row r="937" customFormat="false" ht="15" hidden="false" customHeight="false" outlineLevel="0" collapsed="false">
      <c r="N937" s="34" t="str">
        <f aca="false">IF(D937="","",DATE(YEAR(D937),MONTH(D937),1))</f>
        <v/>
      </c>
      <c r="O937" s="35" t="str">
        <f aca="false">IF(A937="","",IF(ISNUMBER(I937),I937,0))</f>
        <v/>
      </c>
      <c r="P937" s="35" t="str">
        <f aca="false">IF(A937="","",F937+O937+K937)</f>
        <v/>
      </c>
      <c r="Q937" s="36" t="str">
        <f aca="false">IF(A937="","",IF(P937-L937=M937,"OK","Divergente"))</f>
        <v/>
      </c>
    </row>
    <row r="938" customFormat="false" ht="15" hidden="false" customHeight="false" outlineLevel="0" collapsed="false">
      <c r="N938" s="34" t="str">
        <f aca="false">IF(D938="","",DATE(YEAR(D938),MONTH(D938),1))</f>
        <v/>
      </c>
      <c r="O938" s="35" t="str">
        <f aca="false">IF(A938="","",IF(ISNUMBER(I938),I938,0))</f>
        <v/>
      </c>
      <c r="P938" s="35" t="str">
        <f aca="false">IF(A938="","",F938+O938+K938)</f>
        <v/>
      </c>
      <c r="Q938" s="36" t="str">
        <f aca="false">IF(A938="","",IF(P938-L938=M938,"OK","Divergente"))</f>
        <v/>
      </c>
    </row>
    <row r="939" customFormat="false" ht="15" hidden="false" customHeight="false" outlineLevel="0" collapsed="false">
      <c r="N939" s="34" t="str">
        <f aca="false">IF(D939="","",DATE(YEAR(D939),MONTH(D939),1))</f>
        <v/>
      </c>
      <c r="O939" s="35" t="str">
        <f aca="false">IF(A939="","",IF(ISNUMBER(I939),I939,0))</f>
        <v/>
      </c>
      <c r="P939" s="35" t="str">
        <f aca="false">IF(A939="","",F939+O939+K939)</f>
        <v/>
      </c>
      <c r="Q939" s="36" t="str">
        <f aca="false">IF(A939="","",IF(P939-L939=M939,"OK","Divergente"))</f>
        <v/>
      </c>
    </row>
    <row r="940" customFormat="false" ht="15" hidden="false" customHeight="false" outlineLevel="0" collapsed="false">
      <c r="N940" s="34" t="str">
        <f aca="false">IF(D940="","",DATE(YEAR(D940),MONTH(D940),1))</f>
        <v/>
      </c>
      <c r="O940" s="35" t="str">
        <f aca="false">IF(A940="","",IF(ISNUMBER(I940),I940,0))</f>
        <v/>
      </c>
      <c r="P940" s="35" t="str">
        <f aca="false">IF(A940="","",F940+O940+K940)</f>
        <v/>
      </c>
      <c r="Q940" s="36" t="str">
        <f aca="false">IF(A940="","",IF(P940-L940=M940,"OK","Divergente"))</f>
        <v/>
      </c>
    </row>
    <row r="941" customFormat="false" ht="15" hidden="false" customHeight="false" outlineLevel="0" collapsed="false">
      <c r="N941" s="34" t="str">
        <f aca="false">IF(D941="","",DATE(YEAR(D941),MONTH(D941),1))</f>
        <v/>
      </c>
      <c r="O941" s="35" t="str">
        <f aca="false">IF(A941="","",IF(ISNUMBER(I941),I941,0))</f>
        <v/>
      </c>
      <c r="P941" s="35" t="str">
        <f aca="false">IF(A941="","",F941+O941+K941)</f>
        <v/>
      </c>
      <c r="Q941" s="36" t="str">
        <f aca="false">IF(A941="","",IF(P941-L941=M941,"OK","Divergente"))</f>
        <v/>
      </c>
    </row>
    <row r="942" customFormat="false" ht="15" hidden="false" customHeight="false" outlineLevel="0" collapsed="false">
      <c r="N942" s="34" t="str">
        <f aca="false">IF(D942="","",DATE(YEAR(D942),MONTH(D942),1))</f>
        <v/>
      </c>
      <c r="O942" s="35" t="str">
        <f aca="false">IF(A942="","",IF(ISNUMBER(I942),I942,0))</f>
        <v/>
      </c>
      <c r="P942" s="35" t="str">
        <f aca="false">IF(A942="","",F942+O942+K942)</f>
        <v/>
      </c>
      <c r="Q942" s="36" t="str">
        <f aca="false">IF(A942="","",IF(P942-L942=M942,"OK","Divergente"))</f>
        <v/>
      </c>
    </row>
    <row r="943" customFormat="false" ht="15" hidden="false" customHeight="false" outlineLevel="0" collapsed="false">
      <c r="N943" s="34" t="str">
        <f aca="false">IF(D943="","",DATE(YEAR(D943),MONTH(D943),1))</f>
        <v/>
      </c>
      <c r="O943" s="35" t="str">
        <f aca="false">IF(A943="","",IF(ISNUMBER(I943),I943,0))</f>
        <v/>
      </c>
      <c r="P943" s="35" t="str">
        <f aca="false">IF(A943="","",F943+O943+K943)</f>
        <v/>
      </c>
      <c r="Q943" s="36" t="str">
        <f aca="false">IF(A943="","",IF(P943-L943=M943,"OK","Divergente"))</f>
        <v/>
      </c>
    </row>
    <row r="944" customFormat="false" ht="15" hidden="false" customHeight="false" outlineLevel="0" collapsed="false">
      <c r="N944" s="34" t="str">
        <f aca="false">IF(D944="","",DATE(YEAR(D944),MONTH(D944),1))</f>
        <v/>
      </c>
      <c r="O944" s="35" t="str">
        <f aca="false">IF(A944="","",IF(ISNUMBER(I944),I944,0))</f>
        <v/>
      </c>
      <c r="P944" s="35" t="str">
        <f aca="false">IF(A944="","",F944+O944+K944)</f>
        <v/>
      </c>
      <c r="Q944" s="36" t="str">
        <f aca="false">IF(A944="","",IF(P944-L944=M944,"OK","Divergente"))</f>
        <v/>
      </c>
    </row>
    <row r="945" customFormat="false" ht="15" hidden="false" customHeight="false" outlineLevel="0" collapsed="false">
      <c r="N945" s="34" t="str">
        <f aca="false">IF(D945="","",DATE(YEAR(D945),MONTH(D945),1))</f>
        <v/>
      </c>
      <c r="O945" s="35" t="str">
        <f aca="false">IF(A945="","",IF(ISNUMBER(I945),I945,0))</f>
        <v/>
      </c>
      <c r="P945" s="35" t="str">
        <f aca="false">IF(A945="","",F945+O945+K945)</f>
        <v/>
      </c>
      <c r="Q945" s="36" t="str">
        <f aca="false">IF(A945="","",IF(P945-L945=M945,"OK","Divergente"))</f>
        <v/>
      </c>
    </row>
    <row r="946" customFormat="false" ht="15" hidden="false" customHeight="false" outlineLevel="0" collapsed="false">
      <c r="N946" s="34" t="str">
        <f aca="false">IF(D946="","",DATE(YEAR(D946),MONTH(D946),1))</f>
        <v/>
      </c>
      <c r="O946" s="35" t="str">
        <f aca="false">IF(A946="","",IF(ISNUMBER(I946),I946,0))</f>
        <v/>
      </c>
      <c r="P946" s="35" t="str">
        <f aca="false">IF(A946="","",F946+O946+K946)</f>
        <v/>
      </c>
      <c r="Q946" s="36" t="str">
        <f aca="false">IF(A946="","",IF(P946-L946=M946,"OK","Divergente"))</f>
        <v/>
      </c>
    </row>
    <row r="947" customFormat="false" ht="15" hidden="false" customHeight="false" outlineLevel="0" collapsed="false">
      <c r="N947" s="34" t="str">
        <f aca="false">IF(D947="","",DATE(YEAR(D947),MONTH(D947),1))</f>
        <v/>
      </c>
      <c r="O947" s="35" t="str">
        <f aca="false">IF(A947="","",IF(ISNUMBER(I947),I947,0))</f>
        <v/>
      </c>
      <c r="P947" s="35" t="str">
        <f aca="false">IF(A947="","",F947+O947+K947)</f>
        <v/>
      </c>
      <c r="Q947" s="36" t="str">
        <f aca="false">IF(A947="","",IF(P947-L947=M947,"OK","Divergente"))</f>
        <v/>
      </c>
    </row>
    <row r="948" customFormat="false" ht="15" hidden="false" customHeight="false" outlineLevel="0" collapsed="false">
      <c r="N948" s="34" t="str">
        <f aca="false">IF(D948="","",DATE(YEAR(D948),MONTH(D948),1))</f>
        <v/>
      </c>
      <c r="O948" s="35" t="str">
        <f aca="false">IF(A948="","",IF(ISNUMBER(I948),I948,0))</f>
        <v/>
      </c>
      <c r="P948" s="35" t="str">
        <f aca="false">IF(A948="","",F948+O948+K948)</f>
        <v/>
      </c>
      <c r="Q948" s="36" t="str">
        <f aca="false">IF(A948="","",IF(P948-L948=M948,"OK","Divergente"))</f>
        <v/>
      </c>
    </row>
    <row r="949" customFormat="false" ht="15" hidden="false" customHeight="false" outlineLevel="0" collapsed="false">
      <c r="N949" s="34" t="str">
        <f aca="false">IF(D949="","",DATE(YEAR(D949),MONTH(D949),1))</f>
        <v/>
      </c>
      <c r="O949" s="35" t="str">
        <f aca="false">IF(A949="","",IF(ISNUMBER(I949),I949,0))</f>
        <v/>
      </c>
      <c r="P949" s="35" t="str">
        <f aca="false">IF(A949="","",F949+O949+K949)</f>
        <v/>
      </c>
      <c r="Q949" s="36" t="str">
        <f aca="false">IF(A949="","",IF(P949-L949=M949,"OK","Divergente"))</f>
        <v/>
      </c>
    </row>
    <row r="950" customFormat="false" ht="15" hidden="false" customHeight="false" outlineLevel="0" collapsed="false">
      <c r="N950" s="34" t="str">
        <f aca="false">IF(D950="","",DATE(YEAR(D950),MONTH(D950),1))</f>
        <v/>
      </c>
      <c r="O950" s="35" t="str">
        <f aca="false">IF(A950="","",IF(ISNUMBER(I950),I950,0))</f>
        <v/>
      </c>
      <c r="P950" s="35" t="str">
        <f aca="false">IF(A950="","",F950+O950+K950)</f>
        <v/>
      </c>
      <c r="Q950" s="36" t="str">
        <f aca="false">IF(A950="","",IF(P950-L950=M950,"OK","Divergente"))</f>
        <v/>
      </c>
    </row>
    <row r="951" customFormat="false" ht="15" hidden="false" customHeight="false" outlineLevel="0" collapsed="false">
      <c r="N951" s="34" t="str">
        <f aca="false">IF(D951="","",DATE(YEAR(D951),MONTH(D951),1))</f>
        <v/>
      </c>
      <c r="O951" s="35" t="str">
        <f aca="false">IF(A951="","",IF(ISNUMBER(I951),I951,0))</f>
        <v/>
      </c>
      <c r="P951" s="35" t="str">
        <f aca="false">IF(A951="","",F951+O951+K951)</f>
        <v/>
      </c>
      <c r="Q951" s="36" t="str">
        <f aca="false">IF(A951="","",IF(P951-L951=M951,"OK","Divergente"))</f>
        <v/>
      </c>
    </row>
    <row r="952" customFormat="false" ht="15" hidden="false" customHeight="false" outlineLevel="0" collapsed="false">
      <c r="N952" s="34" t="str">
        <f aca="false">IF(D952="","",DATE(YEAR(D952),MONTH(D952),1))</f>
        <v/>
      </c>
      <c r="O952" s="35" t="str">
        <f aca="false">IF(A952="","",IF(ISNUMBER(I952),I952,0))</f>
        <v/>
      </c>
      <c r="P952" s="35" t="str">
        <f aca="false">IF(A952="","",F952+O952+K952)</f>
        <v/>
      </c>
      <c r="Q952" s="36" t="str">
        <f aca="false">IF(A952="","",IF(P952-L952=M952,"OK","Divergente"))</f>
        <v/>
      </c>
    </row>
    <row r="953" customFormat="false" ht="15" hidden="false" customHeight="false" outlineLevel="0" collapsed="false">
      <c r="N953" s="34" t="str">
        <f aca="false">IF(D953="","",DATE(YEAR(D953),MONTH(D953),1))</f>
        <v/>
      </c>
      <c r="O953" s="35" t="str">
        <f aca="false">IF(A953="","",IF(ISNUMBER(I953),I953,0))</f>
        <v/>
      </c>
      <c r="P953" s="35" t="str">
        <f aca="false">IF(A953="","",F953+O953+K953)</f>
        <v/>
      </c>
      <c r="Q953" s="36" t="str">
        <f aca="false">IF(A953="","",IF(P953-L953=M953,"OK","Divergente"))</f>
        <v/>
      </c>
    </row>
    <row r="954" customFormat="false" ht="15" hidden="false" customHeight="false" outlineLevel="0" collapsed="false">
      <c r="N954" s="34" t="str">
        <f aca="false">IF(D954="","",DATE(YEAR(D954),MONTH(D954),1))</f>
        <v/>
      </c>
      <c r="O954" s="35" t="str">
        <f aca="false">IF(A954="","",IF(ISNUMBER(I954),I954,0))</f>
        <v/>
      </c>
      <c r="P954" s="35" t="str">
        <f aca="false">IF(A954="","",F954+O954+K954)</f>
        <v/>
      </c>
      <c r="Q954" s="36" t="str">
        <f aca="false">IF(A954="","",IF(P954-L954=M954,"OK","Divergente"))</f>
        <v/>
      </c>
    </row>
    <row r="955" customFormat="false" ht="15" hidden="false" customHeight="false" outlineLevel="0" collapsed="false">
      <c r="N955" s="34" t="str">
        <f aca="false">IF(D955="","",DATE(YEAR(D955),MONTH(D955),1))</f>
        <v/>
      </c>
      <c r="O955" s="35" t="str">
        <f aca="false">IF(A955="","",IF(ISNUMBER(I955),I955,0))</f>
        <v/>
      </c>
      <c r="P955" s="35" t="str">
        <f aca="false">IF(A955="","",F955+O955+K955)</f>
        <v/>
      </c>
      <c r="Q955" s="36" t="str">
        <f aca="false">IF(A955="","",IF(P955-L955=M955,"OK","Divergente"))</f>
        <v/>
      </c>
    </row>
    <row r="956" customFormat="false" ht="15" hidden="false" customHeight="false" outlineLevel="0" collapsed="false">
      <c r="N956" s="34" t="str">
        <f aca="false">IF(D956="","",DATE(YEAR(D956),MONTH(D956),1))</f>
        <v/>
      </c>
      <c r="O956" s="35" t="str">
        <f aca="false">IF(A956="","",IF(ISNUMBER(I956),I956,0))</f>
        <v/>
      </c>
      <c r="P956" s="35" t="str">
        <f aca="false">IF(A956="","",F956+O956+K956)</f>
        <v/>
      </c>
      <c r="Q956" s="36" t="str">
        <f aca="false">IF(A956="","",IF(P956-L956=M956,"OK","Divergente"))</f>
        <v/>
      </c>
    </row>
    <row r="957" customFormat="false" ht="15" hidden="false" customHeight="false" outlineLevel="0" collapsed="false">
      <c r="N957" s="34" t="str">
        <f aca="false">IF(D957="","",DATE(YEAR(D957),MONTH(D957),1))</f>
        <v/>
      </c>
      <c r="O957" s="35" t="str">
        <f aca="false">IF(A957="","",IF(ISNUMBER(I957),I957,0))</f>
        <v/>
      </c>
      <c r="P957" s="35" t="str">
        <f aca="false">IF(A957="","",F957+O957+K957)</f>
        <v/>
      </c>
      <c r="Q957" s="36" t="str">
        <f aca="false">IF(A957="","",IF(P957-L957=M957,"OK","Divergente"))</f>
        <v/>
      </c>
    </row>
    <row r="958" customFormat="false" ht="15" hidden="false" customHeight="false" outlineLevel="0" collapsed="false">
      <c r="N958" s="34" t="str">
        <f aca="false">IF(D958="","",DATE(YEAR(D958),MONTH(D958),1))</f>
        <v/>
      </c>
      <c r="O958" s="35" t="str">
        <f aca="false">IF(A958="","",IF(ISNUMBER(I958),I958,0))</f>
        <v/>
      </c>
      <c r="P958" s="35" t="str">
        <f aca="false">IF(A958="","",F958+O958+K958)</f>
        <v/>
      </c>
      <c r="Q958" s="36" t="str">
        <f aca="false">IF(A958="","",IF(P958-L958=M958,"OK","Divergente"))</f>
        <v/>
      </c>
    </row>
    <row r="959" customFormat="false" ht="15" hidden="false" customHeight="false" outlineLevel="0" collapsed="false">
      <c r="N959" s="34" t="str">
        <f aca="false">IF(D959="","",DATE(YEAR(D959),MONTH(D959),1))</f>
        <v/>
      </c>
      <c r="O959" s="35" t="str">
        <f aca="false">IF(A959="","",IF(ISNUMBER(I959),I959,0))</f>
        <v/>
      </c>
      <c r="P959" s="35" t="str">
        <f aca="false">IF(A959="","",F959+O959+K959)</f>
        <v/>
      </c>
      <c r="Q959" s="36" t="str">
        <f aca="false">IF(A959="","",IF(P959-L959=M959,"OK","Divergente"))</f>
        <v/>
      </c>
    </row>
    <row r="960" customFormat="false" ht="15" hidden="false" customHeight="false" outlineLevel="0" collapsed="false">
      <c r="N960" s="34" t="str">
        <f aca="false">IF(D960="","",DATE(YEAR(D960),MONTH(D960),1))</f>
        <v/>
      </c>
      <c r="O960" s="35" t="str">
        <f aca="false">IF(A960="","",IF(ISNUMBER(I960),I960,0))</f>
        <v/>
      </c>
      <c r="P960" s="35" t="str">
        <f aca="false">IF(A960="","",F960+O960+K960)</f>
        <v/>
      </c>
      <c r="Q960" s="36" t="str">
        <f aca="false">IF(A960="","",IF(P960-L960=M960,"OK","Divergente"))</f>
        <v/>
      </c>
    </row>
    <row r="961" customFormat="false" ht="15" hidden="false" customHeight="false" outlineLevel="0" collapsed="false">
      <c r="N961" s="34" t="str">
        <f aca="false">IF(D961="","",DATE(YEAR(D961),MONTH(D961),1))</f>
        <v/>
      </c>
      <c r="O961" s="35" t="str">
        <f aca="false">IF(A961="","",IF(ISNUMBER(I961),I961,0))</f>
        <v/>
      </c>
      <c r="P961" s="35" t="str">
        <f aca="false">IF(A961="","",F961+O961+K961)</f>
        <v/>
      </c>
      <c r="Q961" s="36" t="str">
        <f aca="false">IF(A961="","",IF(P961-L961=M961,"OK","Divergente"))</f>
        <v/>
      </c>
    </row>
    <row r="962" customFormat="false" ht="15" hidden="false" customHeight="false" outlineLevel="0" collapsed="false">
      <c r="N962" s="34" t="str">
        <f aca="false">IF(D962="","",DATE(YEAR(D962),MONTH(D962),1))</f>
        <v/>
      </c>
      <c r="O962" s="35" t="str">
        <f aca="false">IF(A962="","",IF(ISNUMBER(I962),I962,0))</f>
        <v/>
      </c>
      <c r="P962" s="35" t="str">
        <f aca="false">IF(A962="","",F962+O962+K962)</f>
        <v/>
      </c>
      <c r="Q962" s="36" t="str">
        <f aca="false">IF(A962="","",IF(P962-L962=M962,"OK","Divergente"))</f>
        <v/>
      </c>
    </row>
    <row r="963" customFormat="false" ht="15" hidden="false" customHeight="false" outlineLevel="0" collapsed="false">
      <c r="N963" s="34" t="str">
        <f aca="false">IF(D963="","",DATE(YEAR(D963),MONTH(D963),1))</f>
        <v/>
      </c>
      <c r="O963" s="35" t="str">
        <f aca="false">IF(A963="","",IF(ISNUMBER(I963),I963,0))</f>
        <v/>
      </c>
      <c r="P963" s="35" t="str">
        <f aca="false">IF(A963="","",F963+O963+K963)</f>
        <v/>
      </c>
      <c r="Q963" s="36" t="str">
        <f aca="false">IF(A963="","",IF(P963-L963=M963,"OK","Divergente"))</f>
        <v/>
      </c>
    </row>
    <row r="964" customFormat="false" ht="15" hidden="false" customHeight="false" outlineLevel="0" collapsed="false">
      <c r="N964" s="34" t="str">
        <f aca="false">IF(D964="","",DATE(YEAR(D964),MONTH(D964),1))</f>
        <v/>
      </c>
      <c r="O964" s="35" t="str">
        <f aca="false">IF(A964="","",IF(ISNUMBER(I964),I964,0))</f>
        <v/>
      </c>
      <c r="P964" s="35" t="str">
        <f aca="false">IF(A964="","",F964+O964+K964)</f>
        <v/>
      </c>
      <c r="Q964" s="36" t="str">
        <f aca="false">IF(A964="","",IF(P964-L964=M964,"OK","Divergente"))</f>
        <v/>
      </c>
    </row>
    <row r="965" customFormat="false" ht="15" hidden="false" customHeight="false" outlineLevel="0" collapsed="false">
      <c r="N965" s="34" t="str">
        <f aca="false">IF(D965="","",DATE(YEAR(D965),MONTH(D965),1))</f>
        <v/>
      </c>
      <c r="O965" s="35" t="str">
        <f aca="false">IF(A965="","",IF(ISNUMBER(I965),I965,0))</f>
        <v/>
      </c>
      <c r="P965" s="35" t="str">
        <f aca="false">IF(A965="","",F965+O965+K965)</f>
        <v/>
      </c>
      <c r="Q965" s="36" t="str">
        <f aca="false">IF(A965="","",IF(P965-L965=M965,"OK","Divergente"))</f>
        <v/>
      </c>
    </row>
    <row r="966" customFormat="false" ht="15" hidden="false" customHeight="false" outlineLevel="0" collapsed="false">
      <c r="N966" s="34" t="str">
        <f aca="false">IF(D966="","",DATE(YEAR(D966),MONTH(D966),1))</f>
        <v/>
      </c>
      <c r="O966" s="35" t="str">
        <f aca="false">IF(A966="","",IF(ISNUMBER(I966),I966,0))</f>
        <v/>
      </c>
      <c r="P966" s="35" t="str">
        <f aca="false">IF(A966="","",F966+O966+K966)</f>
        <v/>
      </c>
      <c r="Q966" s="36" t="str">
        <f aca="false">IF(A966="","",IF(P966-L966=M966,"OK","Divergente"))</f>
        <v/>
      </c>
    </row>
    <row r="967" customFormat="false" ht="15" hidden="false" customHeight="false" outlineLevel="0" collapsed="false">
      <c r="N967" s="34" t="str">
        <f aca="false">IF(D967="","",DATE(YEAR(D967),MONTH(D967),1))</f>
        <v/>
      </c>
      <c r="O967" s="35" t="str">
        <f aca="false">IF(A967="","",IF(ISNUMBER(I967),I967,0))</f>
        <v/>
      </c>
      <c r="P967" s="35" t="str">
        <f aca="false">IF(A967="","",F967+O967+K967)</f>
        <v/>
      </c>
      <c r="Q967" s="36" t="str">
        <f aca="false">IF(A967="","",IF(P967-L967=M967,"OK","Divergente"))</f>
        <v/>
      </c>
    </row>
    <row r="968" customFormat="false" ht="15" hidden="false" customHeight="false" outlineLevel="0" collapsed="false">
      <c r="N968" s="34" t="str">
        <f aca="false">IF(D968="","",DATE(YEAR(D968),MONTH(D968),1))</f>
        <v/>
      </c>
      <c r="O968" s="35" t="str">
        <f aca="false">IF(A968="","",IF(ISNUMBER(I968),I968,0))</f>
        <v/>
      </c>
      <c r="P968" s="35" t="str">
        <f aca="false">IF(A968="","",F968+O968+K968)</f>
        <v/>
      </c>
      <c r="Q968" s="36" t="str">
        <f aca="false">IF(A968="","",IF(P968-L968=M968,"OK","Divergente"))</f>
        <v/>
      </c>
    </row>
    <row r="969" customFormat="false" ht="15" hidden="false" customHeight="false" outlineLevel="0" collapsed="false">
      <c r="N969" s="34" t="str">
        <f aca="false">IF(D969="","",DATE(YEAR(D969),MONTH(D969),1))</f>
        <v/>
      </c>
      <c r="O969" s="35" t="str">
        <f aca="false">IF(A969="","",IF(ISNUMBER(I969),I969,0))</f>
        <v/>
      </c>
      <c r="P969" s="35" t="str">
        <f aca="false">IF(A969="","",F969+O969+K969)</f>
        <v/>
      </c>
      <c r="Q969" s="36" t="str">
        <f aca="false">IF(A969="","",IF(P969-L969=M969,"OK","Divergente"))</f>
        <v/>
      </c>
    </row>
    <row r="970" customFormat="false" ht="15" hidden="false" customHeight="false" outlineLevel="0" collapsed="false">
      <c r="N970" s="34" t="str">
        <f aca="false">IF(D970="","",DATE(YEAR(D970),MONTH(D970),1))</f>
        <v/>
      </c>
      <c r="O970" s="35" t="str">
        <f aca="false">IF(A970="","",IF(ISNUMBER(I970),I970,0))</f>
        <v/>
      </c>
      <c r="P970" s="35" t="str">
        <f aca="false">IF(A970="","",F970+O970+K970)</f>
        <v/>
      </c>
      <c r="Q970" s="36" t="str">
        <f aca="false">IF(A970="","",IF(P970-L970=M970,"OK","Divergente"))</f>
        <v/>
      </c>
    </row>
    <row r="971" customFormat="false" ht="15" hidden="false" customHeight="false" outlineLevel="0" collapsed="false">
      <c r="N971" s="34" t="str">
        <f aca="false">IF(D971="","",DATE(YEAR(D971),MONTH(D971),1))</f>
        <v/>
      </c>
      <c r="O971" s="35" t="str">
        <f aca="false">IF(A971="","",IF(ISNUMBER(I971),I971,0))</f>
        <v/>
      </c>
      <c r="P971" s="35" t="str">
        <f aca="false">IF(A971="","",F971+O971+K971)</f>
        <v/>
      </c>
      <c r="Q971" s="36" t="str">
        <f aca="false">IF(A971="","",IF(P971-L971=M971,"OK","Divergente"))</f>
        <v/>
      </c>
    </row>
    <row r="972" customFormat="false" ht="15" hidden="false" customHeight="false" outlineLevel="0" collapsed="false">
      <c r="N972" s="34" t="str">
        <f aca="false">IF(D972="","",DATE(YEAR(D972),MONTH(D972),1))</f>
        <v/>
      </c>
      <c r="O972" s="35" t="str">
        <f aca="false">IF(A972="","",IF(ISNUMBER(I972),I972,0))</f>
        <v/>
      </c>
      <c r="P972" s="35" t="str">
        <f aca="false">IF(A972="","",F972+O972+K972)</f>
        <v/>
      </c>
      <c r="Q972" s="36" t="str">
        <f aca="false">IF(A972="","",IF(P972-L972=M972,"OK","Divergente"))</f>
        <v/>
      </c>
    </row>
    <row r="973" customFormat="false" ht="15" hidden="false" customHeight="false" outlineLevel="0" collapsed="false">
      <c r="N973" s="34" t="str">
        <f aca="false">IF(D973="","",DATE(YEAR(D973),MONTH(D973),1))</f>
        <v/>
      </c>
      <c r="O973" s="35" t="str">
        <f aca="false">IF(A973="","",IF(ISNUMBER(I973),I973,0))</f>
        <v/>
      </c>
      <c r="P973" s="35" t="str">
        <f aca="false">IF(A973="","",F973+O973+K973)</f>
        <v/>
      </c>
      <c r="Q973" s="36" t="str">
        <f aca="false">IF(A973="","",IF(P973-L973=M973,"OK","Divergente"))</f>
        <v/>
      </c>
    </row>
    <row r="974" customFormat="false" ht="15" hidden="false" customHeight="false" outlineLevel="0" collapsed="false">
      <c r="N974" s="34" t="str">
        <f aca="false">IF(D974="","",DATE(YEAR(D974),MONTH(D974),1))</f>
        <v/>
      </c>
      <c r="O974" s="35" t="str">
        <f aca="false">IF(A974="","",IF(ISNUMBER(I974),I974,0))</f>
        <v/>
      </c>
      <c r="P974" s="35" t="str">
        <f aca="false">IF(A974="","",F974+O974+K974)</f>
        <v/>
      </c>
      <c r="Q974" s="36" t="str">
        <f aca="false">IF(A974="","",IF(P974-L974=M974,"OK","Divergente"))</f>
        <v/>
      </c>
    </row>
    <row r="975" customFormat="false" ht="15" hidden="false" customHeight="false" outlineLevel="0" collapsed="false">
      <c r="N975" s="34" t="str">
        <f aca="false">IF(D975="","",DATE(YEAR(D975),MONTH(D975),1))</f>
        <v/>
      </c>
      <c r="O975" s="35" t="str">
        <f aca="false">IF(A975="","",IF(ISNUMBER(I975),I975,0))</f>
        <v/>
      </c>
      <c r="P975" s="35" t="str">
        <f aca="false">IF(A975="","",F975+O975+K975)</f>
        <v/>
      </c>
      <c r="Q975" s="36" t="str">
        <f aca="false">IF(A975="","",IF(P975-L975=M975,"OK","Divergente"))</f>
        <v/>
      </c>
    </row>
    <row r="976" customFormat="false" ht="15" hidden="false" customHeight="false" outlineLevel="0" collapsed="false">
      <c r="N976" s="34" t="str">
        <f aca="false">IF(D976="","",DATE(YEAR(D976),MONTH(D976),1))</f>
        <v/>
      </c>
      <c r="O976" s="35" t="str">
        <f aca="false">IF(A976="","",IF(ISNUMBER(I976),I976,0))</f>
        <v/>
      </c>
      <c r="P976" s="35" t="str">
        <f aca="false">IF(A976="","",F976+O976+K976)</f>
        <v/>
      </c>
      <c r="Q976" s="36" t="str">
        <f aca="false">IF(A976="","",IF(P976-L976=M976,"OK","Divergente"))</f>
        <v/>
      </c>
    </row>
    <row r="977" customFormat="false" ht="15" hidden="false" customHeight="false" outlineLevel="0" collapsed="false">
      <c r="N977" s="34" t="str">
        <f aca="false">IF(D977="","",DATE(YEAR(D977),MONTH(D977),1))</f>
        <v/>
      </c>
      <c r="O977" s="35" t="str">
        <f aca="false">IF(A977="","",IF(ISNUMBER(I977),I977,0))</f>
        <v/>
      </c>
      <c r="P977" s="35" t="str">
        <f aca="false">IF(A977="","",F977+O977+K977)</f>
        <v/>
      </c>
      <c r="Q977" s="36" t="str">
        <f aca="false">IF(A977="","",IF(P977-L977=M977,"OK","Divergente"))</f>
        <v/>
      </c>
    </row>
    <row r="978" customFormat="false" ht="15" hidden="false" customHeight="false" outlineLevel="0" collapsed="false">
      <c r="N978" s="34" t="str">
        <f aca="false">IF(D978="","",DATE(YEAR(D978),MONTH(D978),1))</f>
        <v/>
      </c>
      <c r="O978" s="35" t="str">
        <f aca="false">IF(A978="","",IF(ISNUMBER(I978),I978,0))</f>
        <v/>
      </c>
      <c r="P978" s="35" t="str">
        <f aca="false">IF(A978="","",F978+O978+K978)</f>
        <v/>
      </c>
      <c r="Q978" s="36" t="str">
        <f aca="false">IF(A978="","",IF(P978-L978=M978,"OK","Divergente"))</f>
        <v/>
      </c>
    </row>
    <row r="979" customFormat="false" ht="15" hidden="false" customHeight="false" outlineLevel="0" collapsed="false">
      <c r="N979" s="34" t="str">
        <f aca="false">IF(D979="","",DATE(YEAR(D979),MONTH(D979),1))</f>
        <v/>
      </c>
      <c r="O979" s="35" t="str">
        <f aca="false">IF(A979="","",IF(ISNUMBER(I979),I979,0))</f>
        <v/>
      </c>
      <c r="P979" s="35" t="str">
        <f aca="false">IF(A979="","",F979+O979+K979)</f>
        <v/>
      </c>
      <c r="Q979" s="36" t="str">
        <f aca="false">IF(A979="","",IF(P979-L979=M979,"OK","Divergente"))</f>
        <v/>
      </c>
    </row>
    <row r="980" customFormat="false" ht="15" hidden="false" customHeight="false" outlineLevel="0" collapsed="false">
      <c r="N980" s="34" t="str">
        <f aca="false">IF(D980="","",DATE(YEAR(D980),MONTH(D980),1))</f>
        <v/>
      </c>
      <c r="O980" s="35" t="str">
        <f aca="false">IF(A980="","",IF(ISNUMBER(I980),I980,0))</f>
        <v/>
      </c>
      <c r="P980" s="35" t="str">
        <f aca="false">IF(A980="","",F980+O980+K980)</f>
        <v/>
      </c>
      <c r="Q980" s="36" t="str">
        <f aca="false">IF(A980="","",IF(P980-L980=M980,"OK","Divergente"))</f>
        <v/>
      </c>
    </row>
    <row r="981" customFormat="false" ht="15" hidden="false" customHeight="false" outlineLevel="0" collapsed="false">
      <c r="N981" s="34" t="str">
        <f aca="false">IF(D981="","",DATE(YEAR(D981),MONTH(D981),1))</f>
        <v/>
      </c>
      <c r="O981" s="35" t="str">
        <f aca="false">IF(A981="","",IF(ISNUMBER(I981),I981,0))</f>
        <v/>
      </c>
      <c r="P981" s="35" t="str">
        <f aca="false">IF(A981="","",F981+O981+K981)</f>
        <v/>
      </c>
      <c r="Q981" s="36" t="str">
        <f aca="false">IF(A981="","",IF(P981-L981=M981,"OK","Divergente"))</f>
        <v/>
      </c>
    </row>
    <row r="982" customFormat="false" ht="15" hidden="false" customHeight="false" outlineLevel="0" collapsed="false">
      <c r="N982" s="34" t="str">
        <f aca="false">IF(D982="","",DATE(YEAR(D982),MONTH(D982),1))</f>
        <v/>
      </c>
      <c r="O982" s="35" t="str">
        <f aca="false">IF(A982="","",IF(ISNUMBER(I982),I982,0))</f>
        <v/>
      </c>
      <c r="P982" s="35" t="str">
        <f aca="false">IF(A982="","",F982+O982+K982)</f>
        <v/>
      </c>
      <c r="Q982" s="36" t="str">
        <f aca="false">IF(A982="","",IF(P982-L982=M982,"OK","Divergente"))</f>
        <v/>
      </c>
    </row>
    <row r="983" customFormat="false" ht="15" hidden="false" customHeight="false" outlineLevel="0" collapsed="false">
      <c r="N983" s="34" t="str">
        <f aca="false">IF(D983="","",DATE(YEAR(D983),MONTH(D983),1))</f>
        <v/>
      </c>
      <c r="O983" s="35" t="str">
        <f aca="false">IF(A983="","",IF(ISNUMBER(I983),I983,0))</f>
        <v/>
      </c>
      <c r="P983" s="35" t="str">
        <f aca="false">IF(A983="","",F983+O983+K983)</f>
        <v/>
      </c>
      <c r="Q983" s="36" t="str">
        <f aca="false">IF(A983="","",IF(P983-L983=M983,"OK","Divergente"))</f>
        <v/>
      </c>
    </row>
    <row r="984" customFormat="false" ht="15" hidden="false" customHeight="false" outlineLevel="0" collapsed="false">
      <c r="N984" s="34" t="str">
        <f aca="false">IF(D984="","",DATE(YEAR(D984),MONTH(D984),1))</f>
        <v/>
      </c>
      <c r="O984" s="35" t="str">
        <f aca="false">IF(A984="","",IF(ISNUMBER(I984),I984,0))</f>
        <v/>
      </c>
      <c r="P984" s="35" t="str">
        <f aca="false">IF(A984="","",F984+O984+K984)</f>
        <v/>
      </c>
      <c r="Q984" s="36" t="str">
        <f aca="false">IF(A984="","",IF(P984-L984=M984,"OK","Divergente"))</f>
        <v/>
      </c>
    </row>
    <row r="985" customFormat="false" ht="15" hidden="false" customHeight="false" outlineLevel="0" collapsed="false">
      <c r="N985" s="34" t="str">
        <f aca="false">IF(D985="","",DATE(YEAR(D985),MONTH(D985),1))</f>
        <v/>
      </c>
      <c r="O985" s="35" t="str">
        <f aca="false">IF(A985="","",IF(ISNUMBER(I985),I985,0))</f>
        <v/>
      </c>
      <c r="P985" s="35" t="str">
        <f aca="false">IF(A985="","",F985+O985+K985)</f>
        <v/>
      </c>
      <c r="Q985" s="36" t="str">
        <f aca="false">IF(A985="","",IF(P985-L985=M985,"OK","Divergente"))</f>
        <v/>
      </c>
    </row>
    <row r="986" customFormat="false" ht="15" hidden="false" customHeight="false" outlineLevel="0" collapsed="false">
      <c r="N986" s="34" t="str">
        <f aca="false">IF(D986="","",DATE(YEAR(D986),MONTH(D986),1))</f>
        <v/>
      </c>
      <c r="O986" s="35" t="str">
        <f aca="false">IF(A986="","",IF(ISNUMBER(I986),I986,0))</f>
        <v/>
      </c>
      <c r="P986" s="35" t="str">
        <f aca="false">IF(A986="","",F986+O986+K986)</f>
        <v/>
      </c>
      <c r="Q986" s="36" t="str">
        <f aca="false">IF(A986="","",IF(P986-L986=M986,"OK","Divergente"))</f>
        <v/>
      </c>
    </row>
    <row r="987" customFormat="false" ht="15" hidden="false" customHeight="false" outlineLevel="0" collapsed="false">
      <c r="N987" s="34" t="str">
        <f aca="false">IF(D987="","",DATE(YEAR(D987),MONTH(D987),1))</f>
        <v/>
      </c>
      <c r="O987" s="35" t="str">
        <f aca="false">IF(A987="","",IF(ISNUMBER(I987),I987,0))</f>
        <v/>
      </c>
      <c r="P987" s="35" t="str">
        <f aca="false">IF(A987="","",F987+O987+K987)</f>
        <v/>
      </c>
      <c r="Q987" s="36" t="str">
        <f aca="false">IF(A987="","",IF(P987-L987=M987,"OK","Divergente"))</f>
        <v/>
      </c>
    </row>
    <row r="988" customFormat="false" ht="15" hidden="false" customHeight="false" outlineLevel="0" collapsed="false">
      <c r="N988" s="34" t="str">
        <f aca="false">IF(D988="","",DATE(YEAR(D988),MONTH(D988),1))</f>
        <v/>
      </c>
      <c r="O988" s="35" t="str">
        <f aca="false">IF(A988="","",IF(ISNUMBER(I988),I988,0))</f>
        <v/>
      </c>
      <c r="P988" s="35" t="str">
        <f aca="false">IF(A988="","",F988+O988+K988)</f>
        <v/>
      </c>
      <c r="Q988" s="36" t="str">
        <f aca="false">IF(A988="","",IF(P988-L988=M988,"OK","Divergente"))</f>
        <v/>
      </c>
    </row>
    <row r="989" customFormat="false" ht="15" hidden="false" customHeight="false" outlineLevel="0" collapsed="false">
      <c r="N989" s="34" t="str">
        <f aca="false">IF(D989="","",DATE(YEAR(D989),MONTH(D989),1))</f>
        <v/>
      </c>
      <c r="O989" s="35" t="str">
        <f aca="false">IF(A989="","",IF(ISNUMBER(I989),I989,0))</f>
        <v/>
      </c>
      <c r="P989" s="35" t="str">
        <f aca="false">IF(A989="","",F989+O989+K989)</f>
        <v/>
      </c>
      <c r="Q989" s="36" t="str">
        <f aca="false">IF(A989="","",IF(P989-L989=M989,"OK","Divergente"))</f>
        <v/>
      </c>
    </row>
    <row r="990" customFormat="false" ht="15" hidden="false" customHeight="false" outlineLevel="0" collapsed="false">
      <c r="N990" s="34" t="str">
        <f aca="false">IF(D990="","",DATE(YEAR(D990),MONTH(D990),1))</f>
        <v/>
      </c>
      <c r="O990" s="35" t="str">
        <f aca="false">IF(A990="","",IF(ISNUMBER(I990),I990,0))</f>
        <v/>
      </c>
      <c r="P990" s="35" t="str">
        <f aca="false">IF(A990="","",F990+O990+K990)</f>
        <v/>
      </c>
      <c r="Q990" s="36" t="str">
        <f aca="false">IF(A990="","",IF(P990-L990=M990,"OK","Divergente"))</f>
        <v/>
      </c>
    </row>
    <row r="991" customFormat="false" ht="15" hidden="false" customHeight="false" outlineLevel="0" collapsed="false">
      <c r="N991" s="34" t="str">
        <f aca="false">IF(D991="","",DATE(YEAR(D991),MONTH(D991),1))</f>
        <v/>
      </c>
      <c r="O991" s="35" t="str">
        <f aca="false">IF(A991="","",IF(ISNUMBER(I991),I991,0))</f>
        <v/>
      </c>
      <c r="P991" s="35" t="str">
        <f aca="false">IF(A991="","",F991+O991+K991)</f>
        <v/>
      </c>
      <c r="Q991" s="36" t="str">
        <f aca="false">IF(A991="","",IF(P991-L991=M991,"OK","Divergente"))</f>
        <v/>
      </c>
    </row>
    <row r="992" customFormat="false" ht="15" hidden="false" customHeight="false" outlineLevel="0" collapsed="false">
      <c r="N992" s="34" t="str">
        <f aca="false">IF(D992="","",DATE(YEAR(D992),MONTH(D992),1))</f>
        <v/>
      </c>
      <c r="O992" s="35" t="str">
        <f aca="false">IF(A992="","",IF(ISNUMBER(I992),I992,0))</f>
        <v/>
      </c>
      <c r="P992" s="35" t="str">
        <f aca="false">IF(A992="","",F992+O992+K992)</f>
        <v/>
      </c>
      <c r="Q992" s="36" t="str">
        <f aca="false">IF(A992="","",IF(P992-L992=M992,"OK","Divergente"))</f>
        <v/>
      </c>
    </row>
    <row r="993" customFormat="false" ht="15" hidden="false" customHeight="false" outlineLevel="0" collapsed="false">
      <c r="N993" s="34" t="str">
        <f aca="false">IF(D993="","",DATE(YEAR(D993),MONTH(D993),1))</f>
        <v/>
      </c>
      <c r="O993" s="35" t="str">
        <f aca="false">IF(A993="","",IF(ISNUMBER(I993),I993,0))</f>
        <v/>
      </c>
      <c r="P993" s="35" t="str">
        <f aca="false">IF(A993="","",F993+O993+K993)</f>
        <v/>
      </c>
      <c r="Q993" s="36" t="str">
        <f aca="false">IF(A993="","",IF(P993-L993=M993,"OK","Divergente"))</f>
        <v/>
      </c>
    </row>
    <row r="994" customFormat="false" ht="15" hidden="false" customHeight="false" outlineLevel="0" collapsed="false">
      <c r="N994" s="34" t="str">
        <f aca="false">IF(D994="","",DATE(YEAR(D994),MONTH(D994),1))</f>
        <v/>
      </c>
      <c r="O994" s="35" t="str">
        <f aca="false">IF(A994="","",IF(ISNUMBER(I994),I994,0))</f>
        <v/>
      </c>
      <c r="P994" s="35" t="str">
        <f aca="false">IF(A994="","",F994+O994+K994)</f>
        <v/>
      </c>
      <c r="Q994" s="36" t="str">
        <f aca="false">IF(A994="","",IF(P994-L994=M994,"OK","Divergente"))</f>
        <v/>
      </c>
    </row>
    <row r="995" customFormat="false" ht="15" hidden="false" customHeight="false" outlineLevel="0" collapsed="false">
      <c r="N995" s="34" t="str">
        <f aca="false">IF(D995="","",DATE(YEAR(D995),MONTH(D995),1))</f>
        <v/>
      </c>
      <c r="O995" s="35" t="str">
        <f aca="false">IF(A995="","",IF(ISNUMBER(I995),I995,0))</f>
        <v/>
      </c>
      <c r="P995" s="35" t="str">
        <f aca="false">IF(A995="","",F995+O995+K995)</f>
        <v/>
      </c>
      <c r="Q995" s="36" t="str">
        <f aca="false">IF(A995="","",IF(P995-L995=M995,"OK","Divergente"))</f>
        <v/>
      </c>
    </row>
    <row r="996" customFormat="false" ht="15" hidden="false" customHeight="false" outlineLevel="0" collapsed="false">
      <c r="N996" s="34" t="str">
        <f aca="false">IF(D996="","",DATE(YEAR(D996),MONTH(D996),1))</f>
        <v/>
      </c>
      <c r="O996" s="35" t="str">
        <f aca="false">IF(A996="","",IF(ISNUMBER(I996),I996,0))</f>
        <v/>
      </c>
      <c r="P996" s="35" t="str">
        <f aca="false">IF(A996="","",F996+O996+K996)</f>
        <v/>
      </c>
      <c r="Q996" s="36" t="str">
        <f aca="false">IF(A996="","",IF(P996-L996=M996,"OK","Divergente"))</f>
        <v/>
      </c>
    </row>
    <row r="997" customFormat="false" ht="15" hidden="false" customHeight="false" outlineLevel="0" collapsed="false">
      <c r="N997" s="34" t="str">
        <f aca="false">IF(D997="","",DATE(YEAR(D997),MONTH(D997),1))</f>
        <v/>
      </c>
      <c r="O997" s="35" t="str">
        <f aca="false">IF(A997="","",IF(ISNUMBER(I997),I997,0))</f>
        <v/>
      </c>
      <c r="P997" s="35" t="str">
        <f aca="false">IF(A997="","",F997+O997+K997)</f>
        <v/>
      </c>
      <c r="Q997" s="36" t="str">
        <f aca="false">IF(A997="","",IF(P997-L997=M997,"OK","Divergente"))</f>
        <v/>
      </c>
    </row>
    <row r="998" customFormat="false" ht="15" hidden="false" customHeight="false" outlineLevel="0" collapsed="false">
      <c r="N998" s="34" t="str">
        <f aca="false">IF(D998="","",DATE(YEAR(D998),MONTH(D998),1))</f>
        <v/>
      </c>
      <c r="O998" s="35" t="str">
        <f aca="false">IF(A998="","",IF(ISNUMBER(I998),I998,0))</f>
        <v/>
      </c>
      <c r="P998" s="35" t="str">
        <f aca="false">IF(A998="","",F998+O998+K998)</f>
        <v/>
      </c>
      <c r="Q998" s="36" t="str">
        <f aca="false">IF(A998="","",IF(P998-L998=M998,"OK","Divergente"))</f>
        <v/>
      </c>
    </row>
    <row r="999" customFormat="false" ht="15" hidden="false" customHeight="false" outlineLevel="0" collapsed="false">
      <c r="N999" s="34" t="str">
        <f aca="false">IF(D999="","",DATE(YEAR(D999),MONTH(D999),1))</f>
        <v/>
      </c>
      <c r="O999" s="35" t="str">
        <f aca="false">IF(A999="","",IF(ISNUMBER(I999),I999,0))</f>
        <v/>
      </c>
      <c r="P999" s="35" t="str">
        <f aca="false">IF(A999="","",F999+O999+K999)</f>
        <v/>
      </c>
      <c r="Q999" s="36" t="str">
        <f aca="false">IF(A999="","",IF(P999-L999=M999,"OK","Divergente"))</f>
        <v/>
      </c>
    </row>
    <row r="1000" customFormat="false" ht="15" hidden="false" customHeight="false" outlineLevel="0" collapsed="false">
      <c r="N1000" s="34" t="str">
        <f aca="false">IF(D1000="","",DATE(YEAR(D1000),MONTH(D1000),1))</f>
        <v/>
      </c>
      <c r="O1000" s="35" t="str">
        <f aca="false">IF(A1000="","",IF(ISNUMBER(I1000),I1000,0))</f>
        <v/>
      </c>
      <c r="P1000" s="35" t="str">
        <f aca="false">IF(A1000="","",F1000+O1000+K1000)</f>
        <v/>
      </c>
      <c r="Q1000" s="36" t="str">
        <f aca="false">IF(A1000="","",IF(P1000-L1000=M1000,"OK","Divergente"))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2026-10-13T00:36:11Z</dcterms:created>
  <dc:creator>openpyxl</dc:creator>
  <dc:description/>
  <dc:language>en-US</dc:language>
  <cp:lastModifiedBy/>
  <dcterms:modified xsi:type="dcterms:W3CDTF">2026-10-13T00:36:13Z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